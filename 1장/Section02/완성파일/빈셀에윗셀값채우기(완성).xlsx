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86D79002-1463-44FA-B7C2-2A96F9D7523D}" xr6:coauthVersionLast="47" xr6:coauthVersionMax="47" xr10:uidLastSave="{00000000-0000-0000-0000-000000000000}"/>
  <bookViews>
    <workbookView xWindow="-18056" yWindow="2328" windowWidth="18159" windowHeight="10305" xr2:uid="{3086061A-29F2-400D-B869-A4F2F659635A}"/>
  </bookViews>
  <sheets>
    <sheet name="매출자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  <c r="D6" i="1"/>
  <c r="E6" i="1" s="1"/>
  <c r="D5" i="1"/>
  <c r="E5" i="1" s="1"/>
  <c r="D4" i="1"/>
  <c r="E4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E8" i="1"/>
  <c r="D8" i="1"/>
  <c r="D7" i="1"/>
  <c r="E7" i="1" s="1"/>
</calcChain>
</file>

<file path=xl/sharedStrings.xml><?xml version="1.0" encoding="utf-8"?>
<sst xmlns="http://schemas.openxmlformats.org/spreadsheetml/2006/main" count="35" uniqueCount="19">
  <si>
    <t>사업부</t>
    <phoneticPr fontId="4" type="noConversion"/>
  </si>
  <si>
    <t>사업장</t>
  </si>
  <si>
    <t>매출금액</t>
    <phoneticPr fontId="4" type="noConversion"/>
  </si>
  <si>
    <t>부가세</t>
    <phoneticPr fontId="4" type="noConversion"/>
  </si>
  <si>
    <t>합계</t>
    <phoneticPr fontId="4" type="noConversion"/>
  </si>
  <si>
    <t>MOTEK</t>
  </si>
  <si>
    <t>월산</t>
  </si>
  <si>
    <t>수북</t>
  </si>
  <si>
    <t>창평</t>
  </si>
  <si>
    <t>봉산</t>
  </si>
  <si>
    <t>금성</t>
  </si>
  <si>
    <t>대전</t>
  </si>
  <si>
    <t>CTR</t>
  </si>
  <si>
    <t>LTS</t>
  </si>
  <si>
    <t>사업부별 상반기 매출 자료</t>
    <phoneticPr fontId="4" type="noConversion"/>
  </si>
  <si>
    <t>사업장수</t>
    <phoneticPr fontId="4" type="noConversion"/>
  </si>
  <si>
    <t>LTS</t>
    <phoneticPr fontId="4" type="noConversion"/>
  </si>
  <si>
    <t>MOTEK</t>
    <phoneticPr fontId="4" type="noConversion"/>
  </si>
  <si>
    <t>CTR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</si>
</sst>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4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8"/>
      </patternFill>
    </fill>
  </fills>
  <borders count="26">
    <border>
      <left/>
      <right/>
      <top/>
      <bottom/>
      <diagonal/>
    </border>
    <border>
      <left/>
      <right/>
      <top/>
      <bottom style="double">
        <color theme="5" tint="-0.49998474074526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/>
      <right style="medium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medium">
        <color theme="5"/>
      </left>
      <right style="thin">
        <color theme="5"/>
      </right>
      <top style="hair">
        <color theme="5"/>
      </top>
      <bottom style="hair">
        <color theme="5"/>
      </bottom>
      <diagonal/>
    </border>
    <border>
      <left style="thin">
        <color theme="5"/>
      </left>
      <right style="medium">
        <color theme="5"/>
      </right>
      <top style="hair">
        <color theme="5"/>
      </top>
      <bottom style="hair">
        <color theme="5"/>
      </bottom>
      <diagonal/>
    </border>
    <border>
      <left style="medium">
        <color theme="5"/>
      </left>
      <right style="thin">
        <color theme="5"/>
      </right>
      <top style="hair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hair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/>
      <bottom style="hair">
        <color theme="5"/>
      </bottom>
      <diagonal/>
    </border>
    <border>
      <left style="thin">
        <color theme="5"/>
      </left>
      <right style="medium">
        <color theme="5"/>
      </right>
      <top/>
      <bottom style="hair">
        <color theme="5"/>
      </bottom>
      <diagonal/>
    </border>
    <border>
      <left style="medium">
        <color theme="5"/>
      </left>
      <right style="thin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0" applyNumberFormat="1" applyBorder="1">
      <alignment vertical="center"/>
    </xf>
    <xf numFmtId="41" fontId="0" fillId="0" borderId="9" xfId="0" applyNumberFormat="1" applyBorder="1">
      <alignment vertical="center"/>
    </xf>
    <xf numFmtId="0" fontId="0" fillId="3" borderId="11" xfId="0" applyFill="1" applyBorder="1" applyAlignment="1">
      <alignment horizontal="center" vertical="center"/>
    </xf>
    <xf numFmtId="41" fontId="0" fillId="0" borderId="3" xfId="1" applyFont="1" applyBorder="1">
      <alignment vertical="center"/>
    </xf>
    <xf numFmtId="0" fontId="0" fillId="0" borderId="2" xfId="0" applyBorder="1">
      <alignment vertical="center"/>
    </xf>
    <xf numFmtId="0" fontId="0" fillId="0" borderId="12" xfId="0" applyBorder="1">
      <alignment vertical="center"/>
    </xf>
    <xf numFmtId="0" fontId="0" fillId="3" borderId="14" xfId="0" applyFill="1" applyBorder="1" applyAlignment="1">
      <alignment horizontal="center" vertical="center"/>
    </xf>
    <xf numFmtId="41" fontId="0" fillId="0" borderId="15" xfId="1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1" fontId="0" fillId="0" borderId="19" xfId="1" applyFont="1" applyBorder="1">
      <alignment vertical="center"/>
    </xf>
    <xf numFmtId="0" fontId="0" fillId="3" borderId="20" xfId="0" applyFill="1" applyBorder="1" applyAlignment="1">
      <alignment horizontal="center" vertical="center"/>
    </xf>
    <xf numFmtId="41" fontId="0" fillId="0" borderId="21" xfId="1" applyFont="1" applyBorder="1">
      <alignment vertical="center"/>
    </xf>
    <xf numFmtId="0" fontId="0" fillId="3" borderId="22" xfId="0" applyFill="1" applyBorder="1" applyAlignment="1">
      <alignment horizontal="center" vertical="center"/>
    </xf>
    <xf numFmtId="41" fontId="0" fillId="0" borderId="23" xfId="1" applyFont="1" applyBorder="1">
      <alignment vertical="center"/>
    </xf>
    <xf numFmtId="0" fontId="5" fillId="4" borderId="24" xfId="0" applyFont="1" applyFill="1" applyBorder="1" applyAlignment="1">
      <alignment horizontal="center" vertical="center"/>
    </xf>
    <xf numFmtId="41" fontId="6" fillId="4" borderId="25" xfId="1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3" xfId="0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C832-5361-4D22-A7DB-A762731B8B47}">
  <dimension ref="A1:H15"/>
  <sheetViews>
    <sheetView showGridLines="0" tabSelected="1" workbookViewId="0">
      <selection activeCell="A5" sqref="A5"/>
    </sheetView>
  </sheetViews>
  <sheetFormatPr defaultRowHeight="16.399999999999999" x14ac:dyDescent="0.45"/>
  <cols>
    <col min="1" max="1" width="9.61328125" customWidth="1"/>
    <col min="2" max="2" width="9" style="1"/>
    <col min="3" max="3" width="11.3828125" customWidth="1"/>
    <col min="7" max="7" width="13.61328125" customWidth="1"/>
    <col min="8" max="8" width="11.61328125" customWidth="1"/>
  </cols>
  <sheetData>
    <row r="1" spans="1:8" ht="26.45" customHeight="1" thickBot="1" x14ac:dyDescent="0.5">
      <c r="A1" s="20" t="s">
        <v>14</v>
      </c>
      <c r="B1" s="20"/>
      <c r="C1" s="20"/>
      <c r="D1" s="20"/>
      <c r="E1" s="20"/>
    </row>
    <row r="2" spans="1:8" ht="11.45" customHeight="1" thickTop="1" thickBot="1" x14ac:dyDescent="0.5"/>
    <row r="3" spans="1:8" ht="22" customHeight="1" thickBot="1" x14ac:dyDescent="0.5">
      <c r="A3" s="2" t="s">
        <v>0</v>
      </c>
      <c r="B3" s="3" t="s">
        <v>1</v>
      </c>
      <c r="C3" s="4" t="s">
        <v>2</v>
      </c>
      <c r="D3" s="3" t="s">
        <v>3</v>
      </c>
      <c r="E3" s="5" t="s">
        <v>4</v>
      </c>
      <c r="G3" s="27" t="s">
        <v>0</v>
      </c>
      <c r="H3" s="28" t="s">
        <v>15</v>
      </c>
    </row>
    <row r="4" spans="1:8" x14ac:dyDescent="0.45">
      <c r="A4" s="29" t="s">
        <v>13</v>
      </c>
      <c r="B4" s="6" t="s">
        <v>6</v>
      </c>
      <c r="C4" s="7">
        <v>39560</v>
      </c>
      <c r="D4" s="18">
        <f>C4*10%</f>
        <v>3956</v>
      </c>
      <c r="E4" s="19">
        <f>SUM(C4:D4)</f>
        <v>43516</v>
      </c>
      <c r="G4" s="25" t="s">
        <v>16</v>
      </c>
      <c r="H4" s="26">
        <f>COUNTIF($A$4:$A$15,G4)</f>
        <v>3</v>
      </c>
    </row>
    <row r="5" spans="1:8" x14ac:dyDescent="0.45">
      <c r="A5" s="30" t="s">
        <v>13</v>
      </c>
      <c r="B5" s="10" t="s">
        <v>10</v>
      </c>
      <c r="C5" s="11">
        <v>350</v>
      </c>
      <c r="D5" s="12">
        <f>C5*10%</f>
        <v>35</v>
      </c>
      <c r="E5" s="13">
        <f>SUM(C5:D5)</f>
        <v>385</v>
      </c>
      <c r="G5" s="21" t="s">
        <v>17</v>
      </c>
      <c r="H5" s="22">
        <f t="shared" ref="H5:H6" si="0">COUNTIF($A$4:$A$15,G5)</f>
        <v>4</v>
      </c>
    </row>
    <row r="6" spans="1:8" ht="16.850000000000001" thickBot="1" x14ac:dyDescent="0.5">
      <c r="A6" s="31" t="s">
        <v>13</v>
      </c>
      <c r="B6" s="14" t="s">
        <v>11</v>
      </c>
      <c r="C6" s="15">
        <v>39560</v>
      </c>
      <c r="D6" s="16">
        <f>C6*10%</f>
        <v>3956</v>
      </c>
      <c r="E6" s="17">
        <f>SUM(C6:D6)</f>
        <v>43516</v>
      </c>
      <c r="G6" s="23" t="s">
        <v>18</v>
      </c>
      <c r="H6" s="24">
        <f t="shared" si="0"/>
        <v>5</v>
      </c>
    </row>
    <row r="7" spans="1:8" x14ac:dyDescent="0.45">
      <c r="A7" s="29" t="s">
        <v>5</v>
      </c>
      <c r="B7" s="6" t="s">
        <v>6</v>
      </c>
      <c r="C7" s="7">
        <v>3200</v>
      </c>
      <c r="D7" s="8">
        <f>C7*10%</f>
        <v>320</v>
      </c>
      <c r="E7" s="9">
        <f>SUM(C7:D7)</f>
        <v>3520</v>
      </c>
    </row>
    <row r="8" spans="1:8" x14ac:dyDescent="0.45">
      <c r="A8" s="30" t="s">
        <v>5</v>
      </c>
      <c r="B8" s="10" t="s">
        <v>7</v>
      </c>
      <c r="C8" s="11">
        <v>81090</v>
      </c>
      <c r="D8" s="12">
        <f t="shared" ref="D8:D15" si="1">C8*10%</f>
        <v>8109</v>
      </c>
      <c r="E8" s="13">
        <f t="shared" ref="E8:E15" si="2">SUM(C8:D8)</f>
        <v>89199</v>
      </c>
    </row>
    <row r="9" spans="1:8" x14ac:dyDescent="0.45">
      <c r="A9" s="30" t="s">
        <v>5</v>
      </c>
      <c r="B9" s="10" t="s">
        <v>9</v>
      </c>
      <c r="C9" s="11">
        <v>55440</v>
      </c>
      <c r="D9" s="12">
        <f t="shared" si="1"/>
        <v>5544</v>
      </c>
      <c r="E9" s="13">
        <f t="shared" si="2"/>
        <v>60984</v>
      </c>
    </row>
    <row r="10" spans="1:8" ht="16.850000000000001" thickBot="1" x14ac:dyDescent="0.5">
      <c r="A10" s="31" t="s">
        <v>5</v>
      </c>
      <c r="B10" s="14" t="s">
        <v>11</v>
      </c>
      <c r="C10" s="15">
        <v>6020</v>
      </c>
      <c r="D10" s="16">
        <f t="shared" si="1"/>
        <v>602</v>
      </c>
      <c r="E10" s="17">
        <f t="shared" si="2"/>
        <v>6622</v>
      </c>
    </row>
    <row r="11" spans="1:8" x14ac:dyDescent="0.45">
      <c r="A11" s="29" t="s">
        <v>12</v>
      </c>
      <c r="B11" s="6" t="s">
        <v>6</v>
      </c>
      <c r="C11" s="7">
        <v>2700</v>
      </c>
      <c r="D11" s="18">
        <f t="shared" si="1"/>
        <v>270</v>
      </c>
      <c r="E11" s="19">
        <f t="shared" si="2"/>
        <v>2970</v>
      </c>
    </row>
    <row r="12" spans="1:8" x14ac:dyDescent="0.45">
      <c r="A12" s="30" t="s">
        <v>12</v>
      </c>
      <c r="B12" s="10" t="s">
        <v>7</v>
      </c>
      <c r="C12" s="11">
        <v>2440</v>
      </c>
      <c r="D12" s="12">
        <f t="shared" si="1"/>
        <v>244</v>
      </c>
      <c r="E12" s="13">
        <f t="shared" si="2"/>
        <v>2684</v>
      </c>
    </row>
    <row r="13" spans="1:8" x14ac:dyDescent="0.45">
      <c r="A13" s="30" t="s">
        <v>12</v>
      </c>
      <c r="B13" s="10" t="s">
        <v>8</v>
      </c>
      <c r="C13" s="11">
        <v>2800</v>
      </c>
      <c r="D13" s="12">
        <f t="shared" si="1"/>
        <v>280</v>
      </c>
      <c r="E13" s="13">
        <f t="shared" si="2"/>
        <v>3080</v>
      </c>
    </row>
    <row r="14" spans="1:8" x14ac:dyDescent="0.45">
      <c r="A14" s="30" t="s">
        <v>12</v>
      </c>
      <c r="B14" s="10" t="s">
        <v>10</v>
      </c>
      <c r="C14" s="11">
        <v>2850</v>
      </c>
      <c r="D14" s="12">
        <f t="shared" si="1"/>
        <v>285</v>
      </c>
      <c r="E14" s="13">
        <f t="shared" si="2"/>
        <v>3135</v>
      </c>
    </row>
    <row r="15" spans="1:8" ht="16.850000000000001" thickBot="1" x14ac:dyDescent="0.5">
      <c r="A15" s="31" t="s">
        <v>12</v>
      </c>
      <c r="B15" s="14" t="s">
        <v>11</v>
      </c>
      <c r="C15" s="15">
        <v>270</v>
      </c>
      <c r="D15" s="16">
        <f t="shared" si="1"/>
        <v>27</v>
      </c>
      <c r="E15" s="17">
        <f t="shared" si="2"/>
        <v>297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2022-03-14T03:37:29Z</dcterms:created>
  <dcterms:modified xsi:type="dcterms:W3CDTF">2025-07-14T06:21:41Z</dcterms:modified>
</cp:coreProperties>
</file>
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Chapter02\추가함수\"/>
    </mc:Choice>
  </mc:AlternateContent>
  <xr:revisionPtr revIDLastSave="0" documentId="13_ncr:1_{C89C5E6A-8291-40EA-93DC-44C393FF8A46}" xr6:coauthVersionLast="47" xr6:coauthVersionMax="47" xr10:uidLastSave="{00000000-0000-0000-0000-000000000000}"/>
  <bookViews>
    <workbookView xWindow="-19310" yWindow="5070" windowWidth="19420" windowHeight="11020" xr2:uid="{5953DB50-DDC2-48F8-B5E3-A8A4E02CD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" l="1" a="1"/>
  <c r="H1" i="1" s="1"/>
  <c r="H13" i="1" a="1"/>
  <c r="H13" i="1" s="1"/>
  <c r="H10" i="1" a="1"/>
  <c r="H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<sst xmlns="http://schemas.openxmlformats.org/spreadsheetml/2006/main" count="58" uniqueCount="37">
  <si>
    <t>담당사원</t>
    <phoneticPr fontId="2" type="noConversion"/>
  </si>
  <si>
    <t>한이경</t>
  </si>
  <si>
    <t>오명근</t>
  </si>
  <si>
    <t>김형호</t>
  </si>
  <si>
    <t>이희훈</t>
  </si>
  <si>
    <t>고원지</t>
  </si>
  <si>
    <t>한재호</t>
  </si>
  <si>
    <t>조예준</t>
  </si>
  <si>
    <t>이시안</t>
  </si>
  <si>
    <t>최지영</t>
  </si>
  <si>
    <t>이성경</t>
  </si>
  <si>
    <t>이경미</t>
  </si>
  <si>
    <t>김현정</t>
  </si>
  <si>
    <t>나이</t>
  </si>
  <si>
    <t>여</t>
    <phoneticPr fontId="2" type="noConversion"/>
  </si>
  <si>
    <t>남</t>
    <phoneticPr fontId="2" type="noConversion"/>
  </si>
  <si>
    <t>직위</t>
    <phoneticPr fontId="4" type="noConversion"/>
  </si>
  <si>
    <t>대리</t>
  </si>
  <si>
    <t>사원</t>
  </si>
  <si>
    <t>매출</t>
    <phoneticPr fontId="2" type="noConversion"/>
  </si>
  <si>
    <t>성별</t>
    <phoneticPr fontId="2" type="noConversion"/>
  </si>
  <si>
    <t>No</t>
    <phoneticPr fontId="2" type="noConversion"/>
  </si>
  <si>
    <t>SA_01</t>
    <phoneticPr fontId="2" type="noConversion"/>
  </si>
  <si>
    <t>SA_02</t>
  </si>
  <si>
    <t>SA_03</t>
  </si>
  <si>
    <t>SA_04</t>
  </si>
  <si>
    <t>SA_05</t>
  </si>
  <si>
    <t>SA_06</t>
  </si>
  <si>
    <t>SA_07</t>
  </si>
  <si>
    <t>SA_08</t>
  </si>
  <si>
    <t>SA_09</t>
  </si>
  <si>
    <t>SA_10</t>
  </si>
  <si>
    <t>SA_12</t>
  </si>
  <si>
    <t>SA_13</t>
  </si>
  <si>
    <t>김기연</t>
    <phoneticPr fontId="2" type="noConversion"/>
  </si>
  <si>
    <t>과장</t>
    <phoneticPr fontId="2" type="noConversion"/>
  </si>
  <si>
    <t>SA_14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</si>
</sst>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7D62-2CB9-4D6A-AC70-882B5D8E3031}">
  <dimension ref="A1:M21"/>
  <sheetViews>
    <sheetView tabSelected="1" workbookViewId="0">
      <selection activeCell="D14" sqref="D14"/>
    </sheetView>
  </sheetViews>
  <sheetFormatPr defaultRowHeight="17" x14ac:dyDescent="0.45"/>
  <cols>
    <col min="1" max="1" width="9.1640625" style="1" customWidth="1"/>
    <col min="2" max="2" width="11.75" style="1" customWidth="1"/>
    <col min="3" max="3" width="7.5" style="1" customWidth="1"/>
    <col min="4" max="4" width="7.08203125" style="1" customWidth="1"/>
    <col min="5" max="5" width="8.75" style="1" customWidth="1"/>
    <col min="6" max="6" width="11.08203125" style="2" customWidth="1"/>
  </cols>
  <sheetData>
    <row r="1" spans="1:13" x14ac:dyDescent="0.45">
      <c r="A1" s="5" t="s">
        <v>21</v>
      </c>
      <c r="B1" s="5" t="s">
        <v>0</v>
      </c>
      <c r="C1" s="5" t="s">
        <v>13</v>
      </c>
      <c r="D1" s="5" t="s">
        <v>20</v>
      </c>
      <c r="E1" s="5" t="s">
        <v>16</v>
      </c>
      <c r="F1" s="6" t="s">
        <v>19</v>
      </c>
      <c r="H1" t="str" cm="1">
        <f t="array" ref="H1:J6">_xlfn._xlws.FILTER(A2:C14,(D2:D14="여")*(E2:E14&lt;&gt;"사원"))</f>
        <v>SA_01</v>
      </c>
      <c r="I1" t="str">
        <v>한이경</v>
      </c>
      <c r="J1">
        <v>21</v>
      </c>
    </row>
    <row r="2" spans="1:13" x14ac:dyDescent="0.45">
      <c r="A2" s="3" t="s">
        <v>22</v>
      </c>
      <c r="B2" s="3" t="s">
        <v>1</v>
      </c>
      <c r="C2" s="3">
        <v>21</v>
      </c>
      <c r="D2" s="3" t="s">
        <v>14</v>
      </c>
      <c r="E2" s="3" t="s">
        <v>17</v>
      </c>
      <c r="F2" s="4">
        <v>14496</v>
      </c>
      <c r="H2" t="str">
        <v>SA_05</v>
      </c>
      <c r="I2" t="str">
        <v>이희훈</v>
      </c>
      <c r="J2">
        <v>26</v>
      </c>
    </row>
    <row r="3" spans="1:13" x14ac:dyDescent="0.45">
      <c r="A3" s="3" t="s">
        <v>23</v>
      </c>
      <c r="B3" s="3" t="s">
        <v>34</v>
      </c>
      <c r="C3" s="3">
        <v>23</v>
      </c>
      <c r="D3" s="3" t="s">
        <v>15</v>
      </c>
      <c r="E3" s="3" t="s">
        <v>18</v>
      </c>
      <c r="F3" s="4">
        <v>60407</v>
      </c>
      <c r="H3" t="str">
        <v>SA_09</v>
      </c>
      <c r="I3" t="str">
        <v>이시안</v>
      </c>
      <c r="J3">
        <v>42</v>
      </c>
    </row>
    <row r="4" spans="1:13" x14ac:dyDescent="0.45">
      <c r="A4" s="3" t="s">
        <v>24</v>
      </c>
      <c r="B4" s="3" t="s">
        <v>2</v>
      </c>
      <c r="C4" s="3">
        <v>45</v>
      </c>
      <c r="D4" s="3" t="s">
        <v>15</v>
      </c>
      <c r="E4" s="3" t="s">
        <v>35</v>
      </c>
      <c r="F4" s="4">
        <v>37702</v>
      </c>
      <c r="H4" t="str">
        <v>SA_10</v>
      </c>
      <c r="I4" t="str">
        <v>최지영</v>
      </c>
      <c r="J4">
        <v>25</v>
      </c>
    </row>
    <row r="5" spans="1:13" x14ac:dyDescent="0.45">
      <c r="A5" s="3" t="s">
        <v>25</v>
      </c>
      <c r="B5" s="3" t="s">
        <v>3</v>
      </c>
      <c r="C5" s="3">
        <v>25</v>
      </c>
      <c r="D5" s="3" t="s">
        <v>15</v>
      </c>
      <c r="E5" s="3" t="s">
        <v>18</v>
      </c>
      <c r="F5" s="4">
        <v>61421</v>
      </c>
      <c r="H5" t="str">
        <v>SA_13</v>
      </c>
      <c r="I5" t="str">
        <v>이경미</v>
      </c>
      <c r="J5">
        <v>28</v>
      </c>
    </row>
    <row r="6" spans="1:13" x14ac:dyDescent="0.45">
      <c r="A6" s="3" t="s">
        <v>26</v>
      </c>
      <c r="B6" s="3" t="s">
        <v>4</v>
      </c>
      <c r="C6" s="3">
        <v>26</v>
      </c>
      <c r="D6" s="3" t="s">
        <v>14</v>
      </c>
      <c r="E6" s="3" t="s">
        <v>17</v>
      </c>
      <c r="F6" s="4">
        <v>76045</v>
      </c>
      <c r="H6" t="str">
        <v>SA_14</v>
      </c>
      <c r="I6" t="str">
        <v>김현정</v>
      </c>
      <c r="J6">
        <v>37</v>
      </c>
    </row>
    <row r="7" spans="1:13" x14ac:dyDescent="0.45">
      <c r="A7" s="3" t="s">
        <v>27</v>
      </c>
      <c r="B7" s="3" t="s">
        <v>5</v>
      </c>
      <c r="C7" s="3">
        <v>27</v>
      </c>
      <c r="D7" s="3" t="s">
        <v>14</v>
      </c>
      <c r="E7" s="3" t="s">
        <v>18</v>
      </c>
      <c r="F7" s="4">
        <v>44877</v>
      </c>
    </row>
    <row r="8" spans="1:13" x14ac:dyDescent="0.45">
      <c r="A8" s="3" t="s">
        <v>28</v>
      </c>
      <c r="B8" s="3" t="s">
        <v>6</v>
      </c>
      <c r="C8" s="3">
        <v>41</v>
      </c>
      <c r="D8" s="3" t="s">
        <v>15</v>
      </c>
      <c r="E8" s="3" t="s">
        <v>35</v>
      </c>
      <c r="F8" s="4">
        <v>47068</v>
      </c>
    </row>
    <row r="9" spans="1:13" x14ac:dyDescent="0.45">
      <c r="A9" s="3" t="s">
        <v>29</v>
      </c>
      <c r="B9" s="3" t="s">
        <v>7</v>
      </c>
      <c r="C9" s="3">
        <v>34</v>
      </c>
      <c r="D9" s="3" t="s">
        <v>15</v>
      </c>
      <c r="E9" s="3" t="s">
        <v>17</v>
      </c>
      <c r="F9" s="4">
        <v>17503</v>
      </c>
    </row>
    <row r="10" spans="1:13" x14ac:dyDescent="0.45">
      <c r="A10" s="3" t="s">
        <v>30</v>
      </c>
      <c r="B10" s="3" t="s">
        <v>8</v>
      </c>
      <c r="C10" s="3">
        <v>42</v>
      </c>
      <c r="D10" s="3" t="s">
        <v>14</v>
      </c>
      <c r="E10" s="3" t="s">
        <v>35</v>
      </c>
      <c r="F10" s="4">
        <v>84314</v>
      </c>
      <c r="H10" t="str" cm="1">
        <f t="array" ref="H10:M11">_xlfn._xlws.FILTER(A2:F14,(E2:E14="대리")*(F2:F14&gt;=50000))</f>
        <v>SA_05</v>
      </c>
      <c r="I10" t="str">
        <v>이희훈</v>
      </c>
      <c r="J10">
        <v>26</v>
      </c>
      <c r="K10" t="str">
        <v>여</v>
      </c>
      <c r="L10" t="str">
        <v>대리</v>
      </c>
      <c r="M10">
        <v>76045</v>
      </c>
    </row>
    <row r="11" spans="1:13" x14ac:dyDescent="0.45">
      <c r="A11" s="3" t="s">
        <v>31</v>
      </c>
      <c r="B11" s="3" t="s">
        <v>9</v>
      </c>
      <c r="C11" s="3">
        <v>25</v>
      </c>
      <c r="D11" s="3" t="s">
        <v>14</v>
      </c>
      <c r="E11" s="3" t="s">
        <v>17</v>
      </c>
      <c r="F11" s="4">
        <v>32252</v>
      </c>
      <c r="H11" t="str">
        <v>SA_13</v>
      </c>
      <c r="I11" t="str">
        <v>이경미</v>
      </c>
      <c r="J11">
        <v>28</v>
      </c>
      <c r="K11" t="str">
        <v>여</v>
      </c>
      <c r="L11" t="str">
        <v>대리</v>
      </c>
      <c r="M11">
        <v>64646</v>
      </c>
    </row>
    <row r="12" spans="1:13" x14ac:dyDescent="0.45">
      <c r="A12" s="3" t="s">
        <v>32</v>
      </c>
      <c r="B12" s="3" t="s">
        <v>10</v>
      </c>
      <c r="C12" s="3">
        <v>35</v>
      </c>
      <c r="D12" s="3" t="s">
        <v>14</v>
      </c>
      <c r="E12" s="3" t="s">
        <v>18</v>
      </c>
      <c r="F12" s="4">
        <v>14410</v>
      </c>
    </row>
    <row r="13" spans="1:13" x14ac:dyDescent="0.45">
      <c r="A13" s="3" t="s">
        <v>33</v>
      </c>
      <c r="B13" s="3" t="s">
        <v>11</v>
      </c>
      <c r="C13" s="3">
        <v>28</v>
      </c>
      <c r="D13" s="3" t="s">
        <v>14</v>
      </c>
      <c r="E13" s="3" t="s">
        <v>17</v>
      </c>
      <c r="F13" s="4">
        <v>64646</v>
      </c>
      <c r="H13" t="str" cm="1">
        <f t="array" ref="H13:M21">_xlfn._xlws.FILTER(A2:F14,(E2:E14="대리")+(F2:F14&gt;=50000))</f>
        <v>SA_01</v>
      </c>
      <c r="I13" t="str">
        <v>한이경</v>
      </c>
      <c r="J13">
        <v>21</v>
      </c>
      <c r="K13" t="str">
        <v>여</v>
      </c>
      <c r="L13" t="str">
        <v>대리</v>
      </c>
      <c r="M13">
        <v>14496</v>
      </c>
    </row>
    <row r="14" spans="1:13" x14ac:dyDescent="0.45">
      <c r="A14" s="3" t="s">
        <v>36</v>
      </c>
      <c r="B14" s="3" t="s">
        <v>12</v>
      </c>
      <c r="C14" s="3">
        <v>37</v>
      </c>
      <c r="D14" s="3" t="s">
        <v>14</v>
      </c>
      <c r="E14" s="3" t="s">
        <v>17</v>
      </c>
      <c r="F14" s="4">
        <v>1546</v>
      </c>
      <c r="H14" t="str">
        <v>SA_02</v>
      </c>
      <c r="I14" t="str">
        <v>김기연</v>
      </c>
      <c r="J14">
        <v>23</v>
      </c>
      <c r="K14" t="str">
        <v>남</v>
      </c>
      <c r="L14" t="str">
        <v>사원</v>
      </c>
      <c r="M14">
        <v>60407</v>
      </c>
    </row>
    <row r="15" spans="1:13" x14ac:dyDescent="0.45">
      <c r="H15" t="str">
        <v>SA_04</v>
      </c>
      <c r="I15" t="str">
        <v>김형호</v>
      </c>
      <c r="J15">
        <v>25</v>
      </c>
      <c r="K15" t="str">
        <v>남</v>
      </c>
      <c r="L15" t="str">
        <v>사원</v>
      </c>
      <c r="M15">
        <v>61421</v>
      </c>
    </row>
    <row r="16" spans="1:13" x14ac:dyDescent="0.45">
      <c r="H16" t="str">
        <v>SA_05</v>
      </c>
      <c r="I16" t="str">
        <v>이희훈</v>
      </c>
      <c r="J16">
        <v>26</v>
      </c>
      <c r="K16" t="str">
        <v>여</v>
      </c>
      <c r="L16" t="str">
        <v>대리</v>
      </c>
      <c r="M16">
        <v>76045</v>
      </c>
    </row>
    <row r="17" spans="8:13" x14ac:dyDescent="0.45">
      <c r="H17" t="str">
        <v>SA_08</v>
      </c>
      <c r="I17" t="str">
        <v>조예준</v>
      </c>
      <c r="J17">
        <v>34</v>
      </c>
      <c r="K17" t="str">
        <v>남</v>
      </c>
      <c r="L17" t="str">
        <v>대리</v>
      </c>
      <c r="M17">
        <v>17503</v>
      </c>
    </row>
    <row r="18" spans="8:13" x14ac:dyDescent="0.45">
      <c r="H18" t="str">
        <v>SA_09</v>
      </c>
      <c r="I18" t="str">
        <v>이시안</v>
      </c>
      <c r="J18">
        <v>42</v>
      </c>
      <c r="K18" t="str">
        <v>여</v>
      </c>
      <c r="L18" t="str">
        <v>과장</v>
      </c>
      <c r="M18">
        <v>84314</v>
      </c>
    </row>
    <row r="19" spans="8:13" x14ac:dyDescent="0.45">
      <c r="H19" t="str">
        <v>SA_10</v>
      </c>
      <c r="I19" t="str">
        <v>최지영</v>
      </c>
      <c r="J19">
        <v>25</v>
      </c>
      <c r="K19" t="str">
        <v>여</v>
      </c>
      <c r="L19" t="str">
        <v>대리</v>
      </c>
      <c r="M19">
        <v>32252</v>
      </c>
    </row>
    <row r="20" spans="8:13" x14ac:dyDescent="0.45">
      <c r="H20" t="str">
        <v>SA_13</v>
      </c>
      <c r="I20" t="str">
        <v>이경미</v>
      </c>
      <c r="J20">
        <v>28</v>
      </c>
      <c r="K20" t="str">
        <v>여</v>
      </c>
      <c r="L20" t="str">
        <v>대리</v>
      </c>
      <c r="M20">
        <v>64646</v>
      </c>
    </row>
    <row r="21" spans="8:13" x14ac:dyDescent="0.45">
      <c r="H21" t="str">
        <v>SA_14</v>
      </c>
      <c r="I21" t="str">
        <v>김현정</v>
      </c>
      <c r="J21">
        <v>37</v>
      </c>
      <c r="K21" t="str">
        <v>여</v>
      </c>
      <c r="L21" t="str">
        <v>대리</v>
      </c>
      <c r="M21">
        <v>1546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2025-10-26T05:01:08Z</dcterms:created>
  <dcterms:modified xsi:type="dcterms:W3CDTF">2025-10-26T07:45:23Z</dcterms:modified>
</cp:coreProperties>
</file>
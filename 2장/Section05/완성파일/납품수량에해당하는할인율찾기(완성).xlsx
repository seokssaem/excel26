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B01693BE-6558-40C9-9D5D-BB66251FD3B0}" xr6:coauthVersionLast="47" xr6:coauthVersionMax="47" xr10:uidLastSave="{00000000-0000-0000-0000-000000000000}"/>
  <bookViews>
    <workbookView xWindow="-19310" yWindow="2410" windowWidth="19420" windowHeight="11020" xr2:uid="{5C374685-9493-46A0-B9F5-A6FB3388C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<sst xmlns="http://schemas.openxmlformats.org/spreadsheetml/2006/main" count="57" uniqueCount="25">
  <si>
    <t>담당자</t>
  </si>
  <si>
    <t>직위</t>
    <phoneticPr fontId="3" type="noConversion"/>
  </si>
  <si>
    <t>분류</t>
    <phoneticPr fontId="4" type="noConversion"/>
  </si>
  <si>
    <t>납품수량</t>
    <phoneticPr fontId="4" type="noConversion"/>
  </si>
  <si>
    <t>KYC</t>
  </si>
  <si>
    <t>BRL</t>
    <phoneticPr fontId="4" type="noConversion"/>
  </si>
  <si>
    <t>SEV</t>
    <phoneticPr fontId="4" type="noConversion"/>
  </si>
  <si>
    <t>과장</t>
  </si>
  <si>
    <t>사원</t>
  </si>
  <si>
    <t>대리</t>
  </si>
  <si>
    <t>오명근</t>
  </si>
  <si>
    <t>김형호</t>
  </si>
  <si>
    <t>부장</t>
  </si>
  <si>
    <t>이희훈</t>
  </si>
  <si>
    <t>최지영</t>
  </si>
  <si>
    <t>이경미</t>
  </si>
  <si>
    <t>이선경</t>
  </si>
  <si>
    <t>담당자</t>
    <phoneticPr fontId="4" type="noConversion"/>
  </si>
  <si>
    <t>김현정</t>
    <phoneticPr fontId="3" type="noConversion"/>
  </si>
  <si>
    <t>수량 최소</t>
    <phoneticPr fontId="4" type="noConversion"/>
  </si>
  <si>
    <t>수량 최대</t>
    <phoneticPr fontId="4" type="noConversion"/>
  </si>
  <si>
    <t>할인율</t>
    <phoneticPr fontId="4" type="noConversion"/>
  </si>
  <si>
    <t>발주일</t>
    <phoneticPr fontId="4" type="noConversion"/>
  </si>
  <si>
    <t>최근 발주일</t>
    <phoneticPr fontId="3" type="noConversion"/>
  </si>
  <si>
    <t>오명근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</si>
</sst>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499984740745262"/>
      </left>
      <right/>
      <top/>
      <bottom/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14" fontId="6" fillId="0" borderId="5" xfId="0" applyNumberFormat="1" applyFont="1" applyFill="1" applyBorder="1" applyAlignment="1">
      <alignment horizontal="center" vertical="center"/>
    </xf>
    <xf numFmtId="14" fontId="6" fillId="0" borderId="6" xfId="0" applyNumberFormat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5988-5D5F-4F3C-942D-9E539DF7313A}">
  <dimension ref="A1:J16"/>
  <sheetViews>
    <sheetView tabSelected="1" workbookViewId="0">
      <selection activeCell="I2" sqref="I2:J2"/>
    </sheetView>
  </sheetViews>
  <sheetFormatPr defaultColWidth="10.5" defaultRowHeight="17"/>
  <cols>
    <col min="1" max="1" width="12.1640625" style="2" customWidth="1"/>
    <col min="2" max="2" width="11.1640625" style="2" customWidth="1"/>
    <col min="3" max="3" width="10.5" style="2"/>
    <col min="4" max="4" width="9.25" style="2" customWidth="1"/>
    <col min="5" max="5" width="10.1640625" style="3" customWidth="1"/>
    <col min="6" max="6" width="9.25" style="3" customWidth="1"/>
    <col min="7" max="7" width="4.1640625" style="1" customWidth="1"/>
    <col min="8" max="8" width="10.5" style="2" customWidth="1"/>
    <col min="9" max="10" width="9.5" style="2" customWidth="1"/>
    <col min="11" max="11" width="9.5" style="1" customWidth="1"/>
    <col min="12" max="16384" width="10.5" style="1"/>
  </cols>
  <sheetData>
    <row r="1" spans="1:10">
      <c r="A1" s="7" t="s">
        <v>22</v>
      </c>
      <c r="B1" s="7" t="s">
        <v>0</v>
      </c>
      <c r="C1" s="7" t="s">
        <v>1</v>
      </c>
      <c r="D1" s="8" t="s">
        <v>2</v>
      </c>
      <c r="E1" s="9" t="s">
        <v>3</v>
      </c>
      <c r="F1" s="9" t="s">
        <v>21</v>
      </c>
      <c r="H1" s="13" t="s">
        <v>17</v>
      </c>
      <c r="I1" s="18" t="s">
        <v>23</v>
      </c>
      <c r="J1" s="19"/>
    </row>
    <row r="2" spans="1:10">
      <c r="A2" s="14">
        <v>45812</v>
      </c>
      <c r="B2" s="4" t="s">
        <v>10</v>
      </c>
      <c r="C2" s="4" t="s">
        <v>7</v>
      </c>
      <c r="D2" s="5" t="s">
        <v>4</v>
      </c>
      <c r="E2" s="6">
        <v>130</v>
      </c>
      <c r="F2" s="20">
        <f>_xlfn.XLOOKUP(E2,$H$6:$H$13,$J$6:$J$13,,-1)</f>
        <v>0.05</v>
      </c>
      <c r="H2" s="10" t="s">
        <v>24</v>
      </c>
      <c r="I2" s="21">
        <f>_xlfn.XLOOKUP(H2,$B$2:$B$16,$A$2:$A$16,"오류",0,-1)</f>
        <v>45856</v>
      </c>
      <c r="J2" s="22"/>
    </row>
    <row r="3" spans="1:10">
      <c r="A3" s="14">
        <v>45823</v>
      </c>
      <c r="B3" s="4" t="s">
        <v>11</v>
      </c>
      <c r="C3" s="4" t="s">
        <v>9</v>
      </c>
      <c r="D3" s="5" t="s">
        <v>5</v>
      </c>
      <c r="E3" s="6">
        <v>400</v>
      </c>
      <c r="F3" s="20">
        <f t="shared" ref="F3:F16" si="0">_xlfn.XLOOKUP(E3,$H$6:$H$13,$J$6:$J$13,,-1)</f>
        <v>0.2</v>
      </c>
      <c r="H3" s="1"/>
      <c r="I3" s="1"/>
      <c r="J3" s="1"/>
    </row>
    <row r="4" spans="1:10">
      <c r="A4" s="14">
        <v>45836</v>
      </c>
      <c r="B4" s="4" t="s">
        <v>13</v>
      </c>
      <c r="C4" s="4" t="s">
        <v>8</v>
      </c>
      <c r="D4" s="5" t="s">
        <v>6</v>
      </c>
      <c r="E4" s="6">
        <v>160</v>
      </c>
      <c r="F4" s="20">
        <f t="shared" si="0"/>
        <v>0.06</v>
      </c>
      <c r="H4" s="1"/>
      <c r="I4" s="1"/>
      <c r="J4" s="1"/>
    </row>
    <row r="5" spans="1:10">
      <c r="A5" s="14">
        <v>45839</v>
      </c>
      <c r="B5" s="4" t="s">
        <v>14</v>
      </c>
      <c r="C5" s="4" t="s">
        <v>9</v>
      </c>
      <c r="D5" s="5" t="s">
        <v>4</v>
      </c>
      <c r="E5" s="6">
        <v>83</v>
      </c>
      <c r="F5" s="20">
        <f t="shared" si="0"/>
        <v>0.02</v>
      </c>
      <c r="H5" s="15" t="s">
        <v>19</v>
      </c>
      <c r="I5" s="15" t="s">
        <v>20</v>
      </c>
      <c r="J5" s="15" t="s">
        <v>21</v>
      </c>
    </row>
    <row r="6" spans="1:10">
      <c r="A6" s="14">
        <v>45845</v>
      </c>
      <c r="B6" s="4" t="s">
        <v>15</v>
      </c>
      <c r="C6" s="4" t="s">
        <v>8</v>
      </c>
      <c r="D6" s="5" t="s">
        <v>6</v>
      </c>
      <c r="E6" s="6">
        <v>268</v>
      </c>
      <c r="F6" s="20">
        <f t="shared" si="0"/>
        <v>0.1</v>
      </c>
      <c r="H6" s="11">
        <v>0</v>
      </c>
      <c r="I6" s="11">
        <v>99</v>
      </c>
      <c r="J6" s="16">
        <v>0.02</v>
      </c>
    </row>
    <row r="7" spans="1:10">
      <c r="A7" s="14">
        <v>45846</v>
      </c>
      <c r="B7" s="4" t="s">
        <v>16</v>
      </c>
      <c r="C7" s="4" t="s">
        <v>9</v>
      </c>
      <c r="D7" s="5" t="s">
        <v>4</v>
      </c>
      <c r="E7" s="6">
        <v>148</v>
      </c>
      <c r="F7" s="20">
        <f t="shared" si="0"/>
        <v>0.05</v>
      </c>
      <c r="H7" s="12">
        <v>100</v>
      </c>
      <c r="I7" s="12">
        <v>149</v>
      </c>
      <c r="J7" s="17">
        <v>0.05</v>
      </c>
    </row>
    <row r="8" spans="1:10">
      <c r="A8" s="14">
        <v>45850</v>
      </c>
      <c r="B8" s="4" t="s">
        <v>18</v>
      </c>
      <c r="C8" s="4" t="s">
        <v>12</v>
      </c>
      <c r="D8" s="5" t="s">
        <v>4</v>
      </c>
      <c r="E8" s="6">
        <v>370</v>
      </c>
      <c r="F8" s="20">
        <f t="shared" si="0"/>
        <v>0.16</v>
      </c>
      <c r="H8" s="12">
        <v>150</v>
      </c>
      <c r="I8" s="12">
        <v>199</v>
      </c>
      <c r="J8" s="17">
        <v>0.06</v>
      </c>
    </row>
    <row r="9" spans="1:10">
      <c r="A9" s="14">
        <v>45853</v>
      </c>
      <c r="B9" s="4" t="s">
        <v>13</v>
      </c>
      <c r="C9" s="4" t="s">
        <v>8</v>
      </c>
      <c r="D9" s="5" t="s">
        <v>6</v>
      </c>
      <c r="E9" s="6">
        <v>420</v>
      </c>
      <c r="F9" s="20">
        <f t="shared" si="0"/>
        <v>0.2</v>
      </c>
      <c r="H9" s="12">
        <v>200</v>
      </c>
      <c r="I9" s="12">
        <v>249</v>
      </c>
      <c r="J9" s="17">
        <v>0.08</v>
      </c>
    </row>
    <row r="10" spans="1:10">
      <c r="A10" s="14">
        <v>45856</v>
      </c>
      <c r="B10" s="4" t="s">
        <v>10</v>
      </c>
      <c r="C10" s="4" t="s">
        <v>7</v>
      </c>
      <c r="D10" s="5" t="s">
        <v>5</v>
      </c>
      <c r="E10" s="6">
        <v>32</v>
      </c>
      <c r="F10" s="20">
        <f t="shared" si="0"/>
        <v>0.02</v>
      </c>
      <c r="H10" s="12">
        <v>250</v>
      </c>
      <c r="I10" s="12">
        <v>299</v>
      </c>
      <c r="J10" s="17">
        <v>0.1</v>
      </c>
    </row>
    <row r="11" spans="1:10">
      <c r="A11" s="14">
        <v>45858</v>
      </c>
      <c r="B11" s="4" t="s">
        <v>11</v>
      </c>
      <c r="C11" s="4" t="s">
        <v>9</v>
      </c>
      <c r="D11" s="5" t="s">
        <v>4</v>
      </c>
      <c r="E11" s="6">
        <v>200</v>
      </c>
      <c r="F11" s="20">
        <f t="shared" si="0"/>
        <v>0.08</v>
      </c>
      <c r="H11" s="12">
        <v>300</v>
      </c>
      <c r="I11" s="12">
        <v>345</v>
      </c>
      <c r="J11" s="17">
        <v>0.12</v>
      </c>
    </row>
    <row r="12" spans="1:10">
      <c r="A12" s="14">
        <v>45861</v>
      </c>
      <c r="B12" s="4" t="s">
        <v>13</v>
      </c>
      <c r="C12" s="4" t="s">
        <v>8</v>
      </c>
      <c r="D12" s="5" t="s">
        <v>6</v>
      </c>
      <c r="E12" s="6">
        <v>144</v>
      </c>
      <c r="F12" s="20">
        <f t="shared" si="0"/>
        <v>0.05</v>
      </c>
      <c r="H12" s="12">
        <v>350</v>
      </c>
      <c r="I12" s="12">
        <v>399</v>
      </c>
      <c r="J12" s="17">
        <v>0.16</v>
      </c>
    </row>
    <row r="13" spans="1:10">
      <c r="A13" s="14">
        <v>45863</v>
      </c>
      <c r="B13" s="4" t="s">
        <v>16</v>
      </c>
      <c r="C13" s="4" t="s">
        <v>9</v>
      </c>
      <c r="D13" s="5" t="s">
        <v>4</v>
      </c>
      <c r="E13" s="6">
        <v>320</v>
      </c>
      <c r="F13" s="20">
        <f t="shared" si="0"/>
        <v>0.12</v>
      </c>
      <c r="H13" s="12">
        <v>400</v>
      </c>
      <c r="I13" s="12">
        <v>500</v>
      </c>
      <c r="J13" s="17">
        <v>0.2</v>
      </c>
    </row>
    <row r="14" spans="1:10">
      <c r="A14" s="14">
        <v>45866</v>
      </c>
      <c r="B14" s="4" t="s">
        <v>13</v>
      </c>
      <c r="C14" s="4" t="s">
        <v>8</v>
      </c>
      <c r="D14" s="5" t="s">
        <v>5</v>
      </c>
      <c r="E14" s="6">
        <v>250</v>
      </c>
      <c r="F14" s="20">
        <f t="shared" si="0"/>
        <v>0.1</v>
      </c>
      <c r="H14"/>
      <c r="I14"/>
      <c r="J14"/>
    </row>
    <row r="15" spans="1:10">
      <c r="A15" s="14">
        <v>45868</v>
      </c>
      <c r="B15" s="4" t="s">
        <v>15</v>
      </c>
      <c r="C15" s="4" t="s">
        <v>8</v>
      </c>
      <c r="D15" s="5" t="s">
        <v>4</v>
      </c>
      <c r="E15" s="6">
        <v>67</v>
      </c>
      <c r="F15" s="20">
        <f t="shared" si="0"/>
        <v>0.02</v>
      </c>
      <c r="H15"/>
      <c r="I15"/>
      <c r="J15"/>
    </row>
    <row r="16" spans="1:10">
      <c r="A16" s="14">
        <v>45868</v>
      </c>
      <c r="B16" s="4" t="s">
        <v>14</v>
      </c>
      <c r="C16" s="4" t="s">
        <v>9</v>
      </c>
      <c r="D16" s="5" t="s">
        <v>4</v>
      </c>
      <c r="E16" s="6">
        <v>124</v>
      </c>
      <c r="F16" s="20">
        <f t="shared" si="0"/>
        <v>0.05</v>
      </c>
    </row>
  </sheetData>
  <sortState xmlns:xlrd2="http://schemas.microsoft.com/office/spreadsheetml/2017/richdata2" ref="A2:E15">
    <sortCondition ref="A2:A15"/>
  </sortState>
  <mergeCells count="2">
    <mergeCell ref="I1:J1"/>
    <mergeCell ref="I2:J2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2018-12-01T13:48:09Z</dcterms:created>
  <dcterms:modified xsi:type="dcterms:W3CDTF">2025-07-27T15:35:27Z</dcterms:modified>
</cp:coreProperties>
</file>
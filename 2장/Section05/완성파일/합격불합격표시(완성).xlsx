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C8073575-41B2-44A2-8D39-B1580E06C7D0}" xr6:coauthVersionLast="47" xr6:coauthVersionMax="47" xr10:uidLastSave="{00000000-0000-0000-0000-000000000000}"/>
  <bookViews>
    <workbookView xWindow="-18056" yWindow="2254" windowWidth="18159" windowHeight="10304" xr2:uid="{21E66AA4-34F5-46CA-8CF3-6C98AC083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" i="1"/>
</calcChain>
</file>

<file path=xl/sharedStrings.xml><?xml version="1.0" encoding="utf-8"?>
<sst xmlns="http://schemas.openxmlformats.org/spreadsheetml/2006/main" count="30" uniqueCount="30">
  <si>
    <t>점수</t>
    <phoneticPr fontId="4" type="noConversion"/>
  </si>
  <si>
    <t>평가</t>
    <phoneticPr fontId="3" type="noConversion"/>
  </si>
  <si>
    <t>1월</t>
    <phoneticPr fontId="4" type="noConversion"/>
  </si>
  <si>
    <t>2월</t>
    <phoneticPr fontId="4" type="noConversion"/>
  </si>
  <si>
    <t>증가/감소</t>
    <phoneticPr fontId="3" type="noConversion"/>
  </si>
  <si>
    <t>차이</t>
    <phoneticPr fontId="3" type="noConversion"/>
  </si>
  <si>
    <t>정하윤</t>
    <phoneticPr fontId="3" type="noConversion"/>
  </si>
  <si>
    <t>박세화</t>
    <phoneticPr fontId="3" type="noConversion"/>
  </si>
  <si>
    <t>정채윤</t>
    <phoneticPr fontId="3" type="noConversion"/>
  </si>
  <si>
    <t>고원지</t>
    <phoneticPr fontId="3" type="noConversion"/>
  </si>
  <si>
    <t>정상준</t>
    <phoneticPr fontId="3" type="noConversion"/>
  </si>
  <si>
    <t>오명근</t>
    <phoneticPr fontId="3" type="noConversion"/>
  </si>
  <si>
    <t>김형호</t>
    <phoneticPr fontId="3" type="noConversion"/>
  </si>
  <si>
    <t>이희훈</t>
    <phoneticPr fontId="3" type="noConversion"/>
  </si>
  <si>
    <t>최지영</t>
    <phoneticPr fontId="3" type="noConversion"/>
  </si>
  <si>
    <t>이경미</t>
    <phoneticPr fontId="3" type="noConversion"/>
  </si>
  <si>
    <t>이선경</t>
  </si>
  <si>
    <t>김현정</t>
  </si>
  <si>
    <t>이시안</t>
    <phoneticPr fontId="3" type="noConversion"/>
  </si>
  <si>
    <t>박국희</t>
    <phoneticPr fontId="3" type="noConversion"/>
  </si>
  <si>
    <t>조예준</t>
    <phoneticPr fontId="3" type="noConversion"/>
  </si>
  <si>
    <t>한재호</t>
    <phoneticPr fontId="3" type="noConversion"/>
  </si>
  <si>
    <t>김소훈</t>
    <phoneticPr fontId="3" type="noConversion"/>
  </si>
  <si>
    <t>원제윤</t>
    <phoneticPr fontId="3" type="noConversion"/>
  </si>
  <si>
    <t>한이경</t>
    <phoneticPr fontId="3" type="noConversion"/>
  </si>
  <si>
    <t>원서준</t>
    <phoneticPr fontId="4" type="noConversion"/>
  </si>
  <si>
    <t>김서아</t>
    <phoneticPr fontId="4" type="noConversion"/>
  </si>
  <si>
    <t>김원진</t>
    <phoneticPr fontId="4" type="noConversion"/>
  </si>
  <si>
    <t>번호</t>
    <phoneticPr fontId="3" type="noConversion"/>
  </si>
  <si>
    <t>이름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</si>
</sst>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indexed="8"/>
      <name val="굴림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</cellStyleXfs>
  <cellXfs count="9">
    <xf numFmtId="0" fontId="0" fillId="0" borderId="0" xfId="0">
      <alignment vertical="center"/>
    </xf>
    <xf numFmtId="41" fontId="2" fillId="2" borderId="1" xfId="1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6" fillId="0" borderId="0" xfId="0" applyFont="1" applyBorder="1">
      <alignment vertical="center"/>
    </xf>
    <xf numFmtId="41" fontId="6" fillId="3" borderId="1" xfId="1" applyFont="1" applyFill="1" applyBorder="1">
      <alignment vertical="center"/>
    </xf>
    <xf numFmtId="0" fontId="6" fillId="0" borderId="1" xfId="0" applyFont="1" applyBorder="1">
      <alignment vertical="center"/>
    </xf>
    <xf numFmtId="41" fontId="6" fillId="0" borderId="0" xfId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Sheet3" xfId="2" xr:uid="{8D6B5B70-5029-4D3B-BA27-1968E86F12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0E5F-A304-49BC-89C6-B9E625EB7F25}">
  <dimension ref="A2:H24"/>
  <sheetViews>
    <sheetView tabSelected="1" workbookViewId="0">
      <selection activeCell="G3" sqref="G3"/>
    </sheetView>
  </sheetViews>
  <sheetFormatPr defaultColWidth="9" defaultRowHeight="16.399999999999999"/>
  <cols>
    <col min="1" max="1" width="5.69140625" style="3" customWidth="1"/>
    <col min="2" max="2" width="9.15234375" style="8" customWidth="1"/>
    <col min="3" max="3" width="7.3828125" style="6" customWidth="1"/>
    <col min="4" max="4" width="9.15234375" style="3" customWidth="1"/>
    <col min="5" max="6" width="9.3828125" style="6" customWidth="1"/>
    <col min="7" max="8" width="10.15234375" style="3" bestFit="1" customWidth="1"/>
    <col min="9" max="16384" width="9" style="3"/>
  </cols>
  <sheetData>
    <row r="2" spans="1:8">
      <c r="A2" s="2" t="s">
        <v>28</v>
      </c>
      <c r="B2" s="2" t="s">
        <v>29</v>
      </c>
      <c r="C2" s="1" t="s">
        <v>0</v>
      </c>
      <c r="D2" s="2" t="s">
        <v>1</v>
      </c>
      <c r="E2" s="1" t="s">
        <v>2</v>
      </c>
      <c r="F2" s="1" t="s">
        <v>3</v>
      </c>
      <c r="G2" s="2" t="s">
        <v>4</v>
      </c>
      <c r="H2" s="2" t="s">
        <v>5</v>
      </c>
    </row>
    <row r="3" spans="1:8">
      <c r="A3" s="5">
        <v>1</v>
      </c>
      <c r="B3" s="7" t="s">
        <v>6</v>
      </c>
      <c r="C3" s="4">
        <v>93.333333333333329</v>
      </c>
      <c r="D3" s="5" t="str">
        <f>IF(C3&gt;=80,"합격","불합격")</f>
        <v>합격</v>
      </c>
      <c r="E3" s="4">
        <v>100</v>
      </c>
      <c r="F3" s="4">
        <v>80</v>
      </c>
      <c r="G3" s="5" t="str">
        <f>IF(E3&lt;=F3,"▲","▽")</f>
        <v>▽</v>
      </c>
      <c r="H3" s="5"/>
    </row>
    <row r="4" spans="1:8">
      <c r="A4" s="5">
        <v>2</v>
      </c>
      <c r="B4" s="7" t="s">
        <v>7</v>
      </c>
      <c r="C4" s="4">
        <v>59.333333333333336</v>
      </c>
      <c r="D4" s="5" t="str">
        <f t="shared" ref="D4:D24" si="0">IF(C4&gt;=80,"합격","불합격")</f>
        <v>불합격</v>
      </c>
      <c r="E4" s="4">
        <v>88</v>
      </c>
      <c r="F4" s="4">
        <v>70</v>
      </c>
      <c r="G4" s="5" t="str">
        <f t="shared" ref="G4:G24" si="1">IF(E4&lt;=F4,"▲","▽")</f>
        <v>▽</v>
      </c>
      <c r="H4" s="5"/>
    </row>
    <row r="5" spans="1:8">
      <c r="A5" s="5">
        <v>3</v>
      </c>
      <c r="B5" s="7" t="s">
        <v>8</v>
      </c>
      <c r="C5" s="4">
        <v>80.666666666666671</v>
      </c>
      <c r="D5" s="5" t="str">
        <f t="shared" si="0"/>
        <v>합격</v>
      </c>
      <c r="E5" s="4">
        <v>78</v>
      </c>
      <c r="F5" s="4">
        <v>85</v>
      </c>
      <c r="G5" s="5" t="str">
        <f t="shared" si="1"/>
        <v>▲</v>
      </c>
      <c r="H5" s="5"/>
    </row>
    <row r="6" spans="1:8">
      <c r="A6" s="5">
        <v>4</v>
      </c>
      <c r="B6" s="7" t="s">
        <v>9</v>
      </c>
      <c r="C6" s="4">
        <v>74.666666666666671</v>
      </c>
      <c r="D6" s="5" t="str">
        <f t="shared" si="0"/>
        <v>불합격</v>
      </c>
      <c r="E6" s="4">
        <v>75</v>
      </c>
      <c r="F6" s="4">
        <v>80</v>
      </c>
      <c r="G6" s="5" t="str">
        <f t="shared" si="1"/>
        <v>▲</v>
      </c>
      <c r="H6" s="5"/>
    </row>
    <row r="7" spans="1:8">
      <c r="A7" s="5">
        <v>5</v>
      </c>
      <c r="B7" s="7" t="s">
        <v>10</v>
      </c>
      <c r="C7" s="4">
        <v>0</v>
      </c>
      <c r="D7" s="5" t="str">
        <f t="shared" si="0"/>
        <v>불합격</v>
      </c>
      <c r="E7" s="4">
        <v>70</v>
      </c>
      <c r="F7" s="4">
        <v>70</v>
      </c>
      <c r="G7" s="5" t="str">
        <f t="shared" si="1"/>
        <v>▲</v>
      </c>
      <c r="H7" s="5"/>
    </row>
    <row r="8" spans="1:8">
      <c r="A8" s="5">
        <v>6</v>
      </c>
      <c r="B8" s="7" t="s">
        <v>11</v>
      </c>
      <c r="C8" s="4">
        <v>77</v>
      </c>
      <c r="D8" s="5" t="str">
        <f t="shared" si="0"/>
        <v>불합격</v>
      </c>
      <c r="E8" s="4">
        <v>80</v>
      </c>
      <c r="F8" s="4">
        <v>90</v>
      </c>
      <c r="G8" s="5" t="str">
        <f t="shared" si="1"/>
        <v>▲</v>
      </c>
      <c r="H8" s="5"/>
    </row>
    <row r="9" spans="1:8">
      <c r="A9" s="5">
        <v>7</v>
      </c>
      <c r="B9" s="7" t="s">
        <v>12</v>
      </c>
      <c r="C9" s="4">
        <v>82.333333333333329</v>
      </c>
      <c r="D9" s="5" t="str">
        <f t="shared" si="0"/>
        <v>합격</v>
      </c>
      <c r="E9" s="4">
        <v>83</v>
      </c>
      <c r="F9" s="4">
        <v>72</v>
      </c>
      <c r="G9" s="5" t="str">
        <f t="shared" si="1"/>
        <v>▽</v>
      </c>
      <c r="H9" s="5"/>
    </row>
    <row r="10" spans="1:8">
      <c r="A10" s="5">
        <v>8</v>
      </c>
      <c r="B10" s="7" t="s">
        <v>13</v>
      </c>
      <c r="C10" s="4">
        <v>65</v>
      </c>
      <c r="D10" s="5" t="str">
        <f t="shared" si="0"/>
        <v>불합격</v>
      </c>
      <c r="E10" s="4">
        <v>75</v>
      </c>
      <c r="F10" s="4">
        <v>50</v>
      </c>
      <c r="G10" s="5" t="str">
        <f t="shared" si="1"/>
        <v>▽</v>
      </c>
      <c r="H10" s="5"/>
    </row>
    <row r="11" spans="1:8">
      <c r="A11" s="5">
        <v>9</v>
      </c>
      <c r="B11" s="7" t="s">
        <v>14</v>
      </c>
      <c r="C11" s="4">
        <v>59.666666666666664</v>
      </c>
      <c r="D11" s="5" t="str">
        <f t="shared" si="0"/>
        <v>불합격</v>
      </c>
      <c r="E11" s="4">
        <v>85</v>
      </c>
      <c r="F11" s="4">
        <v>94</v>
      </c>
      <c r="G11" s="5" t="str">
        <f t="shared" si="1"/>
        <v>▲</v>
      </c>
      <c r="H11" s="5"/>
    </row>
    <row r="12" spans="1:8">
      <c r="A12" s="5">
        <v>10</v>
      </c>
      <c r="B12" s="7" t="s">
        <v>15</v>
      </c>
      <c r="C12" s="4">
        <v>68</v>
      </c>
      <c r="D12" s="5" t="str">
        <f t="shared" si="0"/>
        <v>불합격</v>
      </c>
      <c r="E12" s="4">
        <v>93</v>
      </c>
      <c r="F12" s="4">
        <v>61</v>
      </c>
      <c r="G12" s="5" t="str">
        <f t="shared" si="1"/>
        <v>▽</v>
      </c>
      <c r="H12" s="5"/>
    </row>
    <row r="13" spans="1:8">
      <c r="A13" s="5">
        <v>11</v>
      </c>
      <c r="B13" s="7" t="s">
        <v>16</v>
      </c>
      <c r="C13" s="4">
        <v>88.333333333333329</v>
      </c>
      <c r="D13" s="5" t="str">
        <f t="shared" si="0"/>
        <v>합격</v>
      </c>
      <c r="E13" s="4">
        <v>95</v>
      </c>
      <c r="F13" s="4">
        <v>75</v>
      </c>
      <c r="G13" s="5" t="str">
        <f t="shared" si="1"/>
        <v>▽</v>
      </c>
      <c r="H13" s="5"/>
    </row>
    <row r="14" spans="1:8">
      <c r="A14" s="5">
        <v>12</v>
      </c>
      <c r="B14" s="7" t="s">
        <v>17</v>
      </c>
      <c r="C14" s="4">
        <v>56</v>
      </c>
      <c r="D14" s="5" t="str">
        <f t="shared" si="0"/>
        <v>불합격</v>
      </c>
      <c r="E14" s="4">
        <v>83</v>
      </c>
      <c r="F14" s="4">
        <v>70</v>
      </c>
      <c r="G14" s="5" t="str">
        <f t="shared" si="1"/>
        <v>▽</v>
      </c>
      <c r="H14" s="5"/>
    </row>
    <row r="15" spans="1:8">
      <c r="A15" s="5">
        <v>13</v>
      </c>
      <c r="B15" s="7" t="s">
        <v>18</v>
      </c>
      <c r="C15" s="4">
        <v>75.666666666666671</v>
      </c>
      <c r="D15" s="5" t="str">
        <f t="shared" si="0"/>
        <v>불합격</v>
      </c>
      <c r="E15" s="4">
        <v>73</v>
      </c>
      <c r="F15" s="4">
        <v>80</v>
      </c>
      <c r="G15" s="5" t="str">
        <f t="shared" si="1"/>
        <v>▲</v>
      </c>
      <c r="H15" s="5"/>
    </row>
    <row r="16" spans="1:8">
      <c r="A16" s="5">
        <v>14</v>
      </c>
      <c r="B16" s="7" t="s">
        <v>19</v>
      </c>
      <c r="C16" s="4">
        <v>69.666666666666671</v>
      </c>
      <c r="D16" s="5" t="str">
        <f t="shared" si="0"/>
        <v>불합격</v>
      </c>
      <c r="E16" s="4">
        <v>70</v>
      </c>
      <c r="F16" s="4">
        <v>75</v>
      </c>
      <c r="G16" s="5" t="str">
        <f t="shared" si="1"/>
        <v>▲</v>
      </c>
      <c r="H16" s="5"/>
    </row>
    <row r="17" spans="1:8">
      <c r="A17" s="5">
        <v>15</v>
      </c>
      <c r="B17" s="7" t="s">
        <v>20</v>
      </c>
      <c r="C17" s="4">
        <v>3.3333333333333335</v>
      </c>
      <c r="D17" s="5" t="str">
        <f t="shared" si="0"/>
        <v>불합격</v>
      </c>
      <c r="E17" s="4">
        <v>10</v>
      </c>
      <c r="F17" s="4">
        <v>70</v>
      </c>
      <c r="G17" s="5" t="str">
        <f t="shared" si="1"/>
        <v>▲</v>
      </c>
      <c r="H17" s="5"/>
    </row>
    <row r="18" spans="1:8">
      <c r="A18" s="5">
        <v>16</v>
      </c>
      <c r="B18" s="7" t="s">
        <v>21</v>
      </c>
      <c r="C18" s="4">
        <v>67</v>
      </c>
      <c r="D18" s="5" t="str">
        <f t="shared" si="0"/>
        <v>불합격</v>
      </c>
      <c r="E18" s="4">
        <v>70</v>
      </c>
      <c r="F18" s="4">
        <v>80</v>
      </c>
      <c r="G18" s="5" t="str">
        <f t="shared" si="1"/>
        <v>▲</v>
      </c>
      <c r="H18" s="5"/>
    </row>
    <row r="19" spans="1:8">
      <c r="A19" s="5">
        <v>17</v>
      </c>
      <c r="B19" s="7" t="s">
        <v>22</v>
      </c>
      <c r="C19" s="4">
        <v>51.666666666666664</v>
      </c>
      <c r="D19" s="5" t="str">
        <f t="shared" si="0"/>
        <v>불합격</v>
      </c>
      <c r="E19" s="4">
        <v>73</v>
      </c>
      <c r="F19" s="4">
        <v>70</v>
      </c>
      <c r="G19" s="5" t="str">
        <f t="shared" si="1"/>
        <v>▽</v>
      </c>
      <c r="H19" s="5"/>
    </row>
    <row r="20" spans="1:8">
      <c r="A20" s="5">
        <v>18</v>
      </c>
      <c r="B20" s="7" t="s">
        <v>23</v>
      </c>
      <c r="C20" s="4">
        <v>55</v>
      </c>
      <c r="D20" s="5" t="str">
        <f t="shared" si="0"/>
        <v>불합격</v>
      </c>
      <c r="E20" s="4">
        <v>65</v>
      </c>
      <c r="F20" s="4">
        <v>40</v>
      </c>
      <c r="G20" s="5" t="str">
        <f t="shared" si="1"/>
        <v>▽</v>
      </c>
      <c r="H20" s="5"/>
    </row>
    <row r="21" spans="1:8">
      <c r="A21" s="5">
        <v>19</v>
      </c>
      <c r="B21" s="7" t="s">
        <v>24</v>
      </c>
      <c r="C21" s="4">
        <v>53</v>
      </c>
      <c r="D21" s="5" t="str">
        <f t="shared" si="0"/>
        <v>불합격</v>
      </c>
      <c r="E21" s="4">
        <v>75</v>
      </c>
      <c r="F21" s="4">
        <v>84</v>
      </c>
      <c r="G21" s="5" t="str">
        <f t="shared" si="1"/>
        <v>▲</v>
      </c>
      <c r="H21" s="5"/>
    </row>
    <row r="22" spans="1:8">
      <c r="A22" s="5">
        <v>20</v>
      </c>
      <c r="B22" s="7" t="s">
        <v>25</v>
      </c>
      <c r="C22" s="4">
        <v>58</v>
      </c>
      <c r="D22" s="5" t="str">
        <f t="shared" si="0"/>
        <v>불합격</v>
      </c>
      <c r="E22" s="4">
        <v>83</v>
      </c>
      <c r="F22" s="4">
        <v>51</v>
      </c>
      <c r="G22" s="5" t="str">
        <f t="shared" si="1"/>
        <v>▽</v>
      </c>
      <c r="H22" s="5"/>
    </row>
    <row r="23" spans="1:8">
      <c r="A23" s="5">
        <v>21</v>
      </c>
      <c r="B23" s="7" t="s">
        <v>26</v>
      </c>
      <c r="C23" s="4">
        <v>58.333333333333336</v>
      </c>
      <c r="D23" s="5" t="str">
        <f t="shared" si="0"/>
        <v>불합격</v>
      </c>
      <c r="E23" s="4">
        <v>83</v>
      </c>
      <c r="F23" s="4">
        <v>70</v>
      </c>
      <c r="G23" s="5" t="str">
        <f t="shared" si="1"/>
        <v>▽</v>
      </c>
      <c r="H23" s="5"/>
    </row>
    <row r="24" spans="1:8">
      <c r="A24" s="5">
        <v>22</v>
      </c>
      <c r="B24" s="7" t="s">
        <v>27</v>
      </c>
      <c r="C24" s="4">
        <v>65</v>
      </c>
      <c r="D24" s="5" t="str">
        <f t="shared" si="0"/>
        <v>불합격</v>
      </c>
      <c r="E24" s="4">
        <v>75</v>
      </c>
      <c r="F24" s="4">
        <v>50</v>
      </c>
      <c r="G24" s="5" t="str">
        <f t="shared" si="1"/>
        <v>▽</v>
      </c>
      <c r="H24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2018-11-30T15:08:49Z</dcterms:created>
  <dcterms:modified xsi:type="dcterms:W3CDTF">2025-07-20T09:20:47Z</dcterms:modified>
</cp:coreProperties>
</file>
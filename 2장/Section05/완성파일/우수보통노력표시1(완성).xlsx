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8_{999CC3E3-6AF7-4C3D-8CDB-6CF2154CC75E}" xr6:coauthVersionLast="47" xr6:coauthVersionMax="47" xr10:uidLastSave="{00000000-0000-0000-0000-000000000000}"/>
  <bookViews>
    <workbookView xWindow="-18056" yWindow="2254" windowWidth="18159" windowHeight="10304" xr2:uid="{EFFE5D46-F898-4D0D-9936-0F5F72DD9C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4" i="1"/>
</calcChain>
</file>

<file path=xl/sharedStrings.xml><?xml version="1.0" encoding="utf-8"?>
<sst xmlns="http://schemas.openxmlformats.org/spreadsheetml/2006/main" count="75" uniqueCount="40">
  <si>
    <t>상반기 직무 능력 시험 평가</t>
    <phoneticPr fontId="4" type="noConversion"/>
  </si>
  <si>
    <t>번호</t>
    <phoneticPr fontId="4" type="noConversion"/>
  </si>
  <si>
    <t>이름</t>
  </si>
  <si>
    <t>직위</t>
    <phoneticPr fontId="4" type="noConversion"/>
  </si>
  <si>
    <t>부서</t>
    <phoneticPr fontId="4" type="noConversion"/>
  </si>
  <si>
    <t>점수</t>
    <phoneticPr fontId="3" type="noConversion"/>
  </si>
  <si>
    <t>평균</t>
  </si>
  <si>
    <t>평가</t>
  </si>
  <si>
    <t>학점</t>
  </si>
  <si>
    <t>사원</t>
  </si>
  <si>
    <t>영업</t>
    <phoneticPr fontId="4" type="noConversion"/>
  </si>
  <si>
    <t>대리</t>
  </si>
  <si>
    <t>인사</t>
    <phoneticPr fontId="4" type="noConversion"/>
  </si>
  <si>
    <t>과장</t>
  </si>
  <si>
    <t>경리</t>
    <phoneticPr fontId="4" type="noConversion"/>
  </si>
  <si>
    <t>마케팅</t>
    <phoneticPr fontId="4" type="noConversion"/>
  </si>
  <si>
    <t>부장</t>
  </si>
  <si>
    <t>차장</t>
  </si>
  <si>
    <t>정하윤</t>
    <phoneticPr fontId="3" type="noConversion"/>
  </si>
  <si>
    <t>박세화</t>
    <phoneticPr fontId="3" type="noConversion"/>
  </si>
  <si>
    <t>정채윤</t>
    <phoneticPr fontId="3" type="noConversion"/>
  </si>
  <si>
    <t>고원지</t>
    <phoneticPr fontId="3" type="noConversion"/>
  </si>
  <si>
    <t>정상준</t>
    <phoneticPr fontId="3" type="noConversion"/>
  </si>
  <si>
    <t>오명근</t>
    <phoneticPr fontId="3" type="noConversion"/>
  </si>
  <si>
    <t>김형호</t>
    <phoneticPr fontId="3" type="noConversion"/>
  </si>
  <si>
    <t>이희훈</t>
    <phoneticPr fontId="3" type="noConversion"/>
  </si>
  <si>
    <t>최지영</t>
    <phoneticPr fontId="3" type="noConversion"/>
  </si>
  <si>
    <t>이경미</t>
    <phoneticPr fontId="3" type="noConversion"/>
  </si>
  <si>
    <t>이선경</t>
  </si>
  <si>
    <t>김현정</t>
  </si>
  <si>
    <t>이시안</t>
    <phoneticPr fontId="3" type="noConversion"/>
  </si>
  <si>
    <t>박국희</t>
    <phoneticPr fontId="3" type="noConversion"/>
  </si>
  <si>
    <t>조예준</t>
    <phoneticPr fontId="3" type="noConversion"/>
  </si>
  <si>
    <t>한재호</t>
    <phoneticPr fontId="3" type="noConversion"/>
  </si>
  <si>
    <t>김소훈</t>
    <phoneticPr fontId="3" type="noConversion"/>
  </si>
  <si>
    <t>원제윤</t>
    <phoneticPr fontId="3" type="noConversion"/>
  </si>
  <si>
    <t>한이경</t>
    <phoneticPr fontId="3" type="noConversion"/>
  </si>
  <si>
    <t>원서준</t>
    <phoneticPr fontId="4" type="noConversion"/>
  </si>
  <si>
    <t>김서아</t>
    <phoneticPr fontId="4" type="noConversion"/>
  </si>
  <si>
    <t>김원진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</si>
</sst>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7" tint="-0.49998474074526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12"/>
      <color indexed="8"/>
      <name val="굴림"/>
      <family val="3"/>
      <charset val="129"/>
    </font>
    <font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/>
  </cellStyleXfs>
  <cellXfs count="11">
    <xf numFmtId="0" fontId="0" fillId="0" borderId="0" xfId="0">
      <alignment vertical="center"/>
    </xf>
    <xf numFmtId="0" fontId="5" fillId="0" borderId="0" xfId="0" applyFont="1" applyBorder="1">
      <alignment vertical="center"/>
    </xf>
    <xf numFmtId="41" fontId="5" fillId="0" borderId="0" xfId="1" applyFont="1" applyBorder="1">
      <alignment vertical="center"/>
    </xf>
    <xf numFmtId="41" fontId="6" fillId="2" borderId="2" xfId="1" applyFont="1" applyFill="1" applyBorder="1" applyAlignment="1">
      <alignment horizontal="center"/>
    </xf>
    <xf numFmtId="0" fontId="6" fillId="2" borderId="2" xfId="2" applyFont="1" applyFill="1" applyBorder="1" applyAlignment="1">
      <alignment horizontal="center"/>
    </xf>
    <xf numFmtId="41" fontId="5" fillId="0" borderId="2" xfId="1" applyFont="1" applyBorder="1">
      <alignment vertical="center"/>
    </xf>
    <xf numFmtId="0" fontId="8" fillId="0" borderId="2" xfId="2" applyFont="1" applyFill="1" applyBorder="1" applyAlignment="1">
      <alignment horizontal="center" wrapText="1"/>
    </xf>
    <xf numFmtId="0" fontId="5" fillId="0" borderId="2" xfId="0" applyFont="1" applyFill="1" applyBorder="1">
      <alignment vertical="center"/>
    </xf>
    <xf numFmtId="41" fontId="5" fillId="3" borderId="2" xfId="1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_Sheet3" xfId="2" xr:uid="{C56B7A7A-F1D4-493F-B955-AAD6058FB1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014A-D564-4214-8842-F0D06F0058C3}">
  <dimension ref="A1:H25"/>
  <sheetViews>
    <sheetView tabSelected="1" workbookViewId="0">
      <selection activeCell="H4" sqref="H4"/>
    </sheetView>
  </sheetViews>
  <sheetFormatPr defaultColWidth="9" defaultRowHeight="16.399999999999999"/>
  <cols>
    <col min="1" max="1" width="5.15234375" style="2" customWidth="1"/>
    <col min="2" max="4" width="8.23046875" style="1" customWidth="1"/>
    <col min="5" max="6" width="9.765625" style="1" customWidth="1"/>
    <col min="7" max="8" width="11" style="1" customWidth="1"/>
    <col min="9" max="16384" width="9" style="1"/>
  </cols>
  <sheetData>
    <row r="1" spans="1:8" ht="22" thickBot="1">
      <c r="A1" s="9" t="s">
        <v>0</v>
      </c>
      <c r="B1" s="9"/>
      <c r="C1" s="9"/>
      <c r="D1" s="9"/>
      <c r="E1" s="9"/>
      <c r="F1" s="9"/>
      <c r="G1" s="9"/>
      <c r="H1" s="9"/>
    </row>
    <row r="2" spans="1:8" ht="8.4499999999999993" customHeight="1" thickTop="1"/>
    <row r="3" spans="1:8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 spans="1:8">
      <c r="A4" s="5">
        <v>1</v>
      </c>
      <c r="B4" s="10" t="s">
        <v>18</v>
      </c>
      <c r="C4" s="6" t="s">
        <v>9</v>
      </c>
      <c r="D4" s="6" t="s">
        <v>10</v>
      </c>
      <c r="E4" s="8">
        <v>280</v>
      </c>
      <c r="F4" s="8">
        <v>93.333333333333329</v>
      </c>
      <c r="G4" s="7" t="str">
        <f>IF(F4&gt;=80,"우수",IF(F4&gt;=60,"보통","노력"))</f>
        <v>우수</v>
      </c>
      <c r="H4" s="7" t="str">
        <f>IF(F4&gt;=90,"A",IF(F4&gt;=80,"B",IF(F4&gt;=70,"C",IF(F4&gt;=60,"D","F"))))</f>
        <v>A</v>
      </c>
    </row>
    <row r="5" spans="1:8">
      <c r="A5" s="5">
        <v>2</v>
      </c>
      <c r="B5" s="10" t="s">
        <v>19</v>
      </c>
      <c r="C5" s="6" t="s">
        <v>11</v>
      </c>
      <c r="D5" s="6" t="s">
        <v>10</v>
      </c>
      <c r="E5" s="8">
        <v>178</v>
      </c>
      <c r="F5" s="8">
        <v>59.333333333333336</v>
      </c>
      <c r="G5" s="7" t="str">
        <f t="shared" ref="G5:G25" si="0">IF(F5&gt;=80,"우수",IF(F5&gt;=60,"보통","노력"))</f>
        <v>노력</v>
      </c>
      <c r="H5" s="7" t="str">
        <f t="shared" ref="H5:H25" si="1">IF(F5&gt;=90,"A",IF(F5&gt;=80,"B",IF(F5&gt;=70,"C",IF(F5&gt;=60,"D","F"))))</f>
        <v>F</v>
      </c>
    </row>
    <row r="6" spans="1:8">
      <c r="A6" s="5">
        <v>3</v>
      </c>
      <c r="B6" s="10" t="s">
        <v>20</v>
      </c>
      <c r="C6" s="6" t="s">
        <v>11</v>
      </c>
      <c r="D6" s="6" t="s">
        <v>12</v>
      </c>
      <c r="E6" s="8">
        <v>242</v>
      </c>
      <c r="F6" s="8">
        <v>80.666666666666671</v>
      </c>
      <c r="G6" s="7" t="str">
        <f t="shared" si="0"/>
        <v>우수</v>
      </c>
      <c r="H6" s="7" t="str">
        <f t="shared" si="1"/>
        <v>B</v>
      </c>
    </row>
    <row r="7" spans="1:8">
      <c r="A7" s="5">
        <v>4</v>
      </c>
      <c r="B7" s="10" t="s">
        <v>21</v>
      </c>
      <c r="C7" s="6" t="s">
        <v>13</v>
      </c>
      <c r="D7" s="6" t="s">
        <v>14</v>
      </c>
      <c r="E7" s="8">
        <v>224</v>
      </c>
      <c r="F7" s="8">
        <v>74.666666666666671</v>
      </c>
      <c r="G7" s="7" t="str">
        <f t="shared" si="0"/>
        <v>보통</v>
      </c>
      <c r="H7" s="7" t="str">
        <f t="shared" si="1"/>
        <v>C</v>
      </c>
    </row>
    <row r="8" spans="1:8">
      <c r="A8" s="5">
        <v>5</v>
      </c>
      <c r="B8" s="10" t="s">
        <v>22</v>
      </c>
      <c r="C8" s="6" t="s">
        <v>13</v>
      </c>
      <c r="D8" s="6" t="s">
        <v>12</v>
      </c>
      <c r="E8" s="8">
        <v>0</v>
      </c>
      <c r="F8" s="8">
        <v>0</v>
      </c>
      <c r="G8" s="7" t="str">
        <f t="shared" si="0"/>
        <v>노력</v>
      </c>
      <c r="H8" s="7" t="str">
        <f t="shared" si="1"/>
        <v>F</v>
      </c>
    </row>
    <row r="9" spans="1:8">
      <c r="A9" s="5">
        <v>6</v>
      </c>
      <c r="B9" s="10" t="s">
        <v>23</v>
      </c>
      <c r="C9" s="6" t="s">
        <v>11</v>
      </c>
      <c r="D9" s="6" t="s">
        <v>15</v>
      </c>
      <c r="E9" s="8">
        <v>231</v>
      </c>
      <c r="F9" s="8">
        <v>77</v>
      </c>
      <c r="G9" s="7" t="str">
        <f t="shared" si="0"/>
        <v>보통</v>
      </c>
      <c r="H9" s="7" t="str">
        <f t="shared" si="1"/>
        <v>C</v>
      </c>
    </row>
    <row r="10" spans="1:8">
      <c r="A10" s="5">
        <v>7</v>
      </c>
      <c r="B10" s="10" t="s">
        <v>24</v>
      </c>
      <c r="C10" s="6" t="s">
        <v>11</v>
      </c>
      <c r="D10" s="6" t="s">
        <v>15</v>
      </c>
      <c r="E10" s="8">
        <v>247</v>
      </c>
      <c r="F10" s="8">
        <v>82.333333333333329</v>
      </c>
      <c r="G10" s="7" t="str">
        <f t="shared" si="0"/>
        <v>우수</v>
      </c>
      <c r="H10" s="7" t="str">
        <f t="shared" si="1"/>
        <v>B</v>
      </c>
    </row>
    <row r="11" spans="1:8">
      <c r="A11" s="5">
        <v>8</v>
      </c>
      <c r="B11" s="10" t="s">
        <v>25</v>
      </c>
      <c r="C11" s="6" t="s">
        <v>9</v>
      </c>
      <c r="D11" s="6" t="s">
        <v>12</v>
      </c>
      <c r="E11" s="8">
        <v>195</v>
      </c>
      <c r="F11" s="8">
        <v>65</v>
      </c>
      <c r="G11" s="7" t="str">
        <f t="shared" si="0"/>
        <v>보통</v>
      </c>
      <c r="H11" s="7" t="str">
        <f t="shared" si="1"/>
        <v>D</v>
      </c>
    </row>
    <row r="12" spans="1:8">
      <c r="A12" s="5">
        <v>9</v>
      </c>
      <c r="B12" s="10" t="s">
        <v>26</v>
      </c>
      <c r="C12" s="6" t="s">
        <v>9</v>
      </c>
      <c r="D12" s="6" t="s">
        <v>14</v>
      </c>
      <c r="E12" s="8">
        <v>179</v>
      </c>
      <c r="F12" s="8">
        <v>59.666666666666664</v>
      </c>
      <c r="G12" s="7" t="str">
        <f t="shared" si="0"/>
        <v>노력</v>
      </c>
      <c r="H12" s="7" t="str">
        <f t="shared" si="1"/>
        <v>F</v>
      </c>
    </row>
    <row r="13" spans="1:8">
      <c r="A13" s="5">
        <v>10</v>
      </c>
      <c r="B13" s="10" t="s">
        <v>27</v>
      </c>
      <c r="C13" s="6" t="s">
        <v>9</v>
      </c>
      <c r="D13" s="6" t="s">
        <v>10</v>
      </c>
      <c r="E13" s="8">
        <v>204</v>
      </c>
      <c r="F13" s="8">
        <v>68</v>
      </c>
      <c r="G13" s="7" t="str">
        <f t="shared" si="0"/>
        <v>보통</v>
      </c>
      <c r="H13" s="7" t="str">
        <f t="shared" si="1"/>
        <v>D</v>
      </c>
    </row>
    <row r="14" spans="1:8">
      <c r="A14" s="5">
        <v>11</v>
      </c>
      <c r="B14" s="10" t="s">
        <v>28</v>
      </c>
      <c r="C14" s="6" t="s">
        <v>16</v>
      </c>
      <c r="D14" s="6" t="s">
        <v>12</v>
      </c>
      <c r="E14" s="8">
        <v>265</v>
      </c>
      <c r="F14" s="8">
        <v>88.333333333333329</v>
      </c>
      <c r="G14" s="7" t="str">
        <f t="shared" si="0"/>
        <v>우수</v>
      </c>
      <c r="H14" s="7" t="str">
        <f t="shared" si="1"/>
        <v>B</v>
      </c>
    </row>
    <row r="15" spans="1:8">
      <c r="A15" s="5">
        <v>12</v>
      </c>
      <c r="B15" s="10" t="s">
        <v>29</v>
      </c>
      <c r="C15" s="6" t="s">
        <v>17</v>
      </c>
      <c r="D15" s="6" t="s">
        <v>15</v>
      </c>
      <c r="E15" s="8">
        <v>168</v>
      </c>
      <c r="F15" s="8">
        <v>56</v>
      </c>
      <c r="G15" s="7" t="str">
        <f t="shared" si="0"/>
        <v>노력</v>
      </c>
      <c r="H15" s="7" t="str">
        <f t="shared" si="1"/>
        <v>F</v>
      </c>
    </row>
    <row r="16" spans="1:8">
      <c r="A16" s="5">
        <v>13</v>
      </c>
      <c r="B16" s="10" t="s">
        <v>30</v>
      </c>
      <c r="C16" s="6" t="s">
        <v>16</v>
      </c>
      <c r="D16" s="6" t="s">
        <v>10</v>
      </c>
      <c r="E16" s="8">
        <v>227</v>
      </c>
      <c r="F16" s="8">
        <v>75.666666666666671</v>
      </c>
      <c r="G16" s="7" t="str">
        <f t="shared" si="0"/>
        <v>보통</v>
      </c>
      <c r="H16" s="7" t="str">
        <f t="shared" si="1"/>
        <v>C</v>
      </c>
    </row>
    <row r="17" spans="1:8">
      <c r="A17" s="5">
        <v>14</v>
      </c>
      <c r="B17" s="10" t="s">
        <v>31</v>
      </c>
      <c r="C17" s="6" t="s">
        <v>16</v>
      </c>
      <c r="D17" s="6" t="s">
        <v>12</v>
      </c>
      <c r="E17" s="8">
        <v>209</v>
      </c>
      <c r="F17" s="8">
        <v>69.666666666666671</v>
      </c>
      <c r="G17" s="7" t="str">
        <f t="shared" si="0"/>
        <v>보통</v>
      </c>
      <c r="H17" s="7" t="str">
        <f t="shared" si="1"/>
        <v>D</v>
      </c>
    </row>
    <row r="18" spans="1:8">
      <c r="A18" s="5">
        <v>15</v>
      </c>
      <c r="B18" s="10" t="s">
        <v>32</v>
      </c>
      <c r="C18" s="6" t="s">
        <v>9</v>
      </c>
      <c r="D18" s="6" t="s">
        <v>15</v>
      </c>
      <c r="E18" s="8">
        <v>10</v>
      </c>
      <c r="F18" s="8">
        <v>3.3333333333333335</v>
      </c>
      <c r="G18" s="7" t="str">
        <f t="shared" si="0"/>
        <v>노력</v>
      </c>
      <c r="H18" s="7" t="str">
        <f t="shared" si="1"/>
        <v>F</v>
      </c>
    </row>
    <row r="19" spans="1:8">
      <c r="A19" s="5">
        <v>16</v>
      </c>
      <c r="B19" s="10" t="s">
        <v>33</v>
      </c>
      <c r="C19" s="6" t="s">
        <v>11</v>
      </c>
      <c r="D19" s="6" t="s">
        <v>10</v>
      </c>
      <c r="E19" s="8">
        <v>201</v>
      </c>
      <c r="F19" s="8">
        <v>67</v>
      </c>
      <c r="G19" s="7" t="str">
        <f t="shared" si="0"/>
        <v>보통</v>
      </c>
      <c r="H19" s="7" t="str">
        <f t="shared" si="1"/>
        <v>D</v>
      </c>
    </row>
    <row r="20" spans="1:8">
      <c r="A20" s="5">
        <v>17</v>
      </c>
      <c r="B20" s="10" t="s">
        <v>34</v>
      </c>
      <c r="C20" s="6" t="s">
        <v>13</v>
      </c>
      <c r="D20" s="6" t="s">
        <v>12</v>
      </c>
      <c r="E20" s="8">
        <v>155</v>
      </c>
      <c r="F20" s="8">
        <v>51.666666666666664</v>
      </c>
      <c r="G20" s="7" t="str">
        <f t="shared" si="0"/>
        <v>노력</v>
      </c>
      <c r="H20" s="7" t="str">
        <f t="shared" si="1"/>
        <v>F</v>
      </c>
    </row>
    <row r="21" spans="1:8">
      <c r="A21" s="5">
        <v>18</v>
      </c>
      <c r="B21" s="10" t="s">
        <v>35</v>
      </c>
      <c r="C21" s="6" t="s">
        <v>13</v>
      </c>
      <c r="D21" s="6" t="s">
        <v>15</v>
      </c>
      <c r="E21" s="8">
        <v>165</v>
      </c>
      <c r="F21" s="8">
        <v>55</v>
      </c>
      <c r="G21" s="7" t="str">
        <f t="shared" si="0"/>
        <v>노력</v>
      </c>
      <c r="H21" s="7" t="str">
        <f t="shared" si="1"/>
        <v>F</v>
      </c>
    </row>
    <row r="22" spans="1:8">
      <c r="A22" s="5">
        <v>19</v>
      </c>
      <c r="B22" s="10" t="s">
        <v>36</v>
      </c>
      <c r="C22" s="6" t="s">
        <v>11</v>
      </c>
      <c r="D22" s="6" t="s">
        <v>14</v>
      </c>
      <c r="E22" s="8">
        <v>159</v>
      </c>
      <c r="F22" s="8">
        <v>53</v>
      </c>
      <c r="G22" s="7" t="str">
        <f t="shared" si="0"/>
        <v>노력</v>
      </c>
      <c r="H22" s="7" t="str">
        <f t="shared" si="1"/>
        <v>F</v>
      </c>
    </row>
    <row r="23" spans="1:8">
      <c r="A23" s="5">
        <v>20</v>
      </c>
      <c r="B23" s="10" t="s">
        <v>37</v>
      </c>
      <c r="C23" s="6" t="s">
        <v>11</v>
      </c>
      <c r="D23" s="6" t="s">
        <v>14</v>
      </c>
      <c r="E23" s="8">
        <v>174</v>
      </c>
      <c r="F23" s="8">
        <v>58</v>
      </c>
      <c r="G23" s="7" t="str">
        <f t="shared" si="0"/>
        <v>노력</v>
      </c>
      <c r="H23" s="7" t="str">
        <f t="shared" si="1"/>
        <v>F</v>
      </c>
    </row>
    <row r="24" spans="1:8">
      <c r="A24" s="5">
        <v>21</v>
      </c>
      <c r="B24" s="10" t="s">
        <v>38</v>
      </c>
      <c r="C24" s="6" t="s">
        <v>9</v>
      </c>
      <c r="D24" s="6" t="s">
        <v>15</v>
      </c>
      <c r="E24" s="8">
        <v>175</v>
      </c>
      <c r="F24" s="8">
        <v>58.333333333333336</v>
      </c>
      <c r="G24" s="7" t="str">
        <f t="shared" si="0"/>
        <v>노력</v>
      </c>
      <c r="H24" s="7" t="str">
        <f t="shared" si="1"/>
        <v>F</v>
      </c>
    </row>
    <row r="25" spans="1:8">
      <c r="A25" s="5">
        <v>22</v>
      </c>
      <c r="B25" s="10" t="s">
        <v>39</v>
      </c>
      <c r="C25" s="6" t="s">
        <v>9</v>
      </c>
      <c r="D25" s="6" t="s">
        <v>10</v>
      </c>
      <c r="E25" s="8">
        <v>195</v>
      </c>
      <c r="F25" s="8">
        <v>65</v>
      </c>
      <c r="G25" s="7" t="str">
        <f t="shared" si="0"/>
        <v>보통</v>
      </c>
      <c r="H25" s="7" t="str">
        <f t="shared" si="1"/>
        <v>D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2018-11-30T15:48:15Z</dcterms:created>
  <dcterms:modified xsi:type="dcterms:W3CDTF">2025-07-20T09:28:03Z</dcterms:modified>
</cp:coreProperties>
</file>
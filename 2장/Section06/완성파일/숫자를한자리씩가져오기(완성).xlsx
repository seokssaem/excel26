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2\Section06\예제\"/>
    </mc:Choice>
  </mc:AlternateContent>
  <xr:revisionPtr revIDLastSave="0" documentId="8_{D8B8D2E2-23C4-4CB8-94BD-D0C73C1B1081}" xr6:coauthVersionLast="47" xr6:coauthVersionMax="47" xr10:uidLastSave="{00000000-0000-0000-0000-000000000000}"/>
  <bookViews>
    <workbookView xWindow="-19310" yWindow="2410" windowWidth="19420" windowHeight="11020" xr2:uid="{2820AA34-824F-4EC3-ADB2-B4410EADB77D}"/>
  </bookViews>
  <sheets>
    <sheet name="발주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9" i="1" l="1"/>
  <c r="J19" i="1"/>
  <c r="K19" i="1"/>
  <c r="L19" i="1"/>
  <c r="M19" i="1"/>
  <c r="N19" i="1"/>
  <c r="O19" i="1"/>
  <c r="P19" i="1"/>
  <c r="Q19" i="1"/>
  <c r="I20" i="1"/>
  <c r="J20" i="1"/>
  <c r="K20" i="1"/>
  <c r="L20" i="1"/>
  <c r="M20" i="1"/>
  <c r="N20" i="1"/>
  <c r="O20" i="1"/>
  <c r="P20" i="1"/>
  <c r="Q20" i="1"/>
  <c r="I21" i="1"/>
  <c r="J21" i="1"/>
  <c r="K21" i="1"/>
  <c r="L21" i="1"/>
  <c r="M21" i="1"/>
  <c r="N21" i="1"/>
  <c r="O21" i="1"/>
  <c r="P21" i="1"/>
  <c r="Q21" i="1"/>
  <c r="I22" i="1"/>
  <c r="J22" i="1"/>
  <c r="K22" i="1"/>
  <c r="L22" i="1"/>
  <c r="M22" i="1"/>
  <c r="N22" i="1"/>
  <c r="O22" i="1"/>
  <c r="P22" i="1"/>
  <c r="Q22" i="1"/>
  <c r="I23" i="1"/>
  <c r="J23" i="1"/>
  <c r="K23" i="1"/>
  <c r="L23" i="1"/>
  <c r="M23" i="1"/>
  <c r="N23" i="1"/>
  <c r="O23" i="1"/>
  <c r="P23" i="1"/>
  <c r="Q23" i="1"/>
  <c r="I24" i="1"/>
  <c r="J24" i="1"/>
  <c r="K24" i="1"/>
  <c r="L24" i="1"/>
  <c r="M24" i="1"/>
  <c r="N24" i="1"/>
  <c r="O24" i="1"/>
  <c r="P24" i="1"/>
  <c r="Q24" i="1"/>
  <c r="I25" i="1"/>
  <c r="J25" i="1"/>
  <c r="K25" i="1"/>
  <c r="L25" i="1"/>
  <c r="M25" i="1"/>
  <c r="N25" i="1"/>
  <c r="O25" i="1"/>
  <c r="P25" i="1"/>
  <c r="Q25" i="1"/>
  <c r="I26" i="1"/>
  <c r="J26" i="1"/>
  <c r="K26" i="1"/>
  <c r="L26" i="1"/>
  <c r="M26" i="1"/>
  <c r="N26" i="1"/>
  <c r="O26" i="1"/>
  <c r="P26" i="1"/>
  <c r="Q26" i="1"/>
  <c r="I27" i="1"/>
  <c r="J27" i="1"/>
  <c r="K27" i="1"/>
  <c r="L27" i="1"/>
  <c r="M27" i="1"/>
  <c r="N27" i="1"/>
  <c r="O27" i="1"/>
  <c r="P27" i="1"/>
  <c r="Q27" i="1"/>
  <c r="I28" i="1"/>
  <c r="J28" i="1"/>
  <c r="K28" i="1"/>
  <c r="L28" i="1"/>
  <c r="M28" i="1"/>
  <c r="N28" i="1"/>
  <c r="O28" i="1"/>
  <c r="P28" i="1"/>
  <c r="Q28" i="1"/>
  <c r="I29" i="1"/>
  <c r="J29" i="1"/>
  <c r="K29" i="1"/>
  <c r="L29" i="1"/>
  <c r="M29" i="1"/>
  <c r="N29" i="1"/>
  <c r="O29" i="1"/>
  <c r="P29" i="1"/>
  <c r="Q29" i="1"/>
  <c r="I30" i="1"/>
  <c r="J30" i="1"/>
  <c r="K30" i="1"/>
  <c r="L30" i="1"/>
  <c r="M30" i="1"/>
  <c r="N30" i="1"/>
  <c r="O30" i="1"/>
  <c r="P30" i="1"/>
  <c r="Q30" i="1"/>
  <c r="I31" i="1"/>
  <c r="J31" i="1"/>
  <c r="K31" i="1"/>
  <c r="L31" i="1"/>
  <c r="M31" i="1"/>
  <c r="N31" i="1"/>
  <c r="O31" i="1"/>
  <c r="P31" i="1"/>
  <c r="Q31" i="1"/>
  <c r="J17" i="1"/>
  <c r="K17" i="1"/>
  <c r="I17" i="1"/>
  <c r="R20" i="1"/>
  <c r="R21" i="1"/>
  <c r="R22" i="1"/>
  <c r="R23" i="1"/>
  <c r="R24" i="1"/>
  <c r="R25" i="1"/>
  <c r="R26" i="1"/>
  <c r="R27" i="1"/>
  <c r="R28" i="1"/>
  <c r="R29" i="1"/>
  <c r="R30" i="1"/>
  <c r="R31" i="1"/>
  <c r="R18" i="1"/>
  <c r="I18" i="1" s="1"/>
  <c r="R19" i="1"/>
  <c r="R17" i="1"/>
  <c r="L17" i="1" s="1"/>
  <c r="B7" i="1"/>
  <c r="B4" i="1"/>
  <c r="O18" i="1" l="1"/>
  <c r="L18" i="1"/>
  <c r="K18" i="1"/>
  <c r="Q18" i="1"/>
  <c r="P18" i="1"/>
  <c r="N18" i="1"/>
  <c r="M18" i="1"/>
  <c r="J18" i="1"/>
  <c r="Q17" i="1"/>
  <c r="P17" i="1"/>
  <c r="O17" i="1"/>
  <c r="N17" i="1"/>
  <c r="M17" i="1"/>
</calcChain>
</file>

<file path=xl/sharedStrings.xml><?xml version="1.0" encoding="utf-8"?>
<sst xmlns="http://schemas.openxmlformats.org/spreadsheetml/2006/main" count="43" uniqueCount="42">
  <si>
    <t>구  매  발  주  서</t>
    <phoneticPr fontId="4" type="noConversion"/>
  </si>
  <si>
    <t>귀중</t>
    <phoneticPr fontId="4" type="noConversion"/>
  </si>
  <si>
    <t>발주번호 :</t>
    <phoneticPr fontId="4" type="noConversion"/>
  </si>
  <si>
    <t>발주일자 :</t>
    <phoneticPr fontId="4" type="noConversion"/>
  </si>
  <si>
    <t>납기일자</t>
    <phoneticPr fontId="4" type="noConversion"/>
  </si>
  <si>
    <t>납품장소</t>
  </si>
  <si>
    <t>지불조건</t>
  </si>
  <si>
    <t>담당부서</t>
  </si>
  <si>
    <t>담당자</t>
  </si>
  <si>
    <t>직책</t>
  </si>
  <si>
    <t>전화번호</t>
    <phoneticPr fontId="4" type="noConversion"/>
  </si>
  <si>
    <t>송파지점</t>
    <phoneticPr fontId="3" type="noConversion"/>
  </si>
  <si>
    <t>어음</t>
  </si>
  <si>
    <t>구매부</t>
  </si>
  <si>
    <t>홍길동</t>
    <phoneticPr fontId="3" type="noConversion"/>
  </si>
  <si>
    <t>차장</t>
    <phoneticPr fontId="3" type="noConversion"/>
  </si>
  <si>
    <t>332-5471</t>
    <phoneticPr fontId="4" type="noConversion"/>
  </si>
  <si>
    <t>발주처</t>
    <phoneticPr fontId="4" type="noConversion"/>
  </si>
  <si>
    <t>주소</t>
    <phoneticPr fontId="4" type="noConversion"/>
  </si>
  <si>
    <t>대표자명</t>
    <phoneticPr fontId="4" type="noConversion"/>
  </si>
  <si>
    <t>컴가이드</t>
    <phoneticPr fontId="4" type="noConversion"/>
  </si>
  <si>
    <t>경남 진해시 남양동 342-1</t>
    <phoneticPr fontId="4" type="noConversion"/>
  </si>
  <si>
    <t>472-9821</t>
    <phoneticPr fontId="4" type="noConversion"/>
  </si>
  <si>
    <t>아래와 같이 주문하오니 기일내 필히 납품시켜 주시기 바랍니다.</t>
    <phoneticPr fontId="4" type="noConversion"/>
  </si>
  <si>
    <t>품번</t>
    <phoneticPr fontId="4" type="noConversion"/>
  </si>
  <si>
    <t>품명</t>
    <phoneticPr fontId="4" type="noConversion"/>
  </si>
  <si>
    <t>규격</t>
    <phoneticPr fontId="4" type="noConversion"/>
  </si>
  <si>
    <t>수량</t>
    <phoneticPr fontId="4" type="noConversion"/>
  </si>
  <si>
    <t>단위</t>
    <phoneticPr fontId="4" type="noConversion"/>
  </si>
  <si>
    <t>단가</t>
    <phoneticPr fontId="4" type="noConversion"/>
  </si>
  <si>
    <t>금액</t>
    <phoneticPr fontId="4" type="noConversion"/>
  </si>
  <si>
    <t xml:space="preserve">M&amp;M'S PEANUT </t>
    <phoneticPr fontId="4" type="noConversion"/>
  </si>
  <si>
    <t>158.8G</t>
  </si>
  <si>
    <t>EA</t>
    <phoneticPr fontId="4" type="noConversion"/>
  </si>
  <si>
    <t>SKITTLES ORIGINAL</t>
    <phoneticPr fontId="4" type="noConversion"/>
  </si>
  <si>
    <t xml:space="preserve"> 226G</t>
    <phoneticPr fontId="4" type="noConversion"/>
  </si>
  <si>
    <t>SET</t>
    <phoneticPr fontId="4" type="noConversion"/>
  </si>
  <si>
    <t xml:space="preserve">DOVE MILK POUCH </t>
    <phoneticPr fontId="3" type="noConversion"/>
  </si>
  <si>
    <t>200G</t>
    <phoneticPr fontId="3" type="noConversion"/>
  </si>
  <si>
    <t>EA</t>
    <phoneticPr fontId="3" type="noConversion"/>
  </si>
  <si>
    <t>선양미</t>
    <phoneticPr fontId="4" type="noConversion"/>
  </si>
  <si>
    <t>20250807-032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</si>
</sst>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년&quot;\ m&quot;월&quot;\ d&quot;일&quot;;@"/>
  </numFmts>
  <fonts count="1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/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41" fontId="5" fillId="0" borderId="6" xfId="3" applyFont="1" applyBorder="1">
      <alignment vertical="center"/>
    </xf>
    <xf numFmtId="41" fontId="5" fillId="0" borderId="7" xfId="3" applyFont="1" applyBorder="1">
      <alignment vertical="center"/>
    </xf>
    <xf numFmtId="41" fontId="5" fillId="0" borderId="9" xfId="3" applyFont="1" applyBorder="1">
      <alignment vertical="center"/>
    </xf>
    <xf numFmtId="41" fontId="5" fillId="0" borderId="10" xfId="3" applyFont="1" applyBorder="1">
      <alignment vertical="center"/>
    </xf>
    <xf numFmtId="0" fontId="6" fillId="0" borderId="0" xfId="2" applyFont="1">
      <alignment vertical="center"/>
    </xf>
    <xf numFmtId="0" fontId="7" fillId="0" borderId="1" xfId="2" applyFont="1" applyBorder="1">
      <alignment vertical="center"/>
    </xf>
    <xf numFmtId="0" fontId="6" fillId="0" borderId="2" xfId="2" applyFont="1" applyBorder="1">
      <alignment vertical="center"/>
    </xf>
    <xf numFmtId="0" fontId="6" fillId="0" borderId="4" xfId="2" applyFont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6" fillId="0" borderId="7" xfId="2" applyFont="1" applyBorder="1" applyAlignment="1">
      <alignment horizontal="center" vertical="center"/>
    </xf>
    <xf numFmtId="0" fontId="6" fillId="0" borderId="10" xfId="2" applyFont="1" applyBorder="1" applyAlignment="1">
      <alignment horizontal="center" vertical="center"/>
    </xf>
    <xf numFmtId="0" fontId="8" fillId="0" borderId="3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6" fillId="0" borderId="7" xfId="2" applyFont="1" applyBorder="1">
      <alignment vertical="center"/>
    </xf>
    <xf numFmtId="0" fontId="6" fillId="0" borderId="12" xfId="2" applyFont="1" applyBorder="1" applyAlignment="1">
      <alignment horizontal="center" vertical="center"/>
    </xf>
    <xf numFmtId="0" fontId="6" fillId="0" borderId="13" xfId="2" applyFont="1" applyBorder="1" applyAlignment="1">
      <alignment horizontal="center" vertical="center"/>
    </xf>
    <xf numFmtId="0" fontId="6" fillId="0" borderId="14" xfId="2" applyFont="1" applyBorder="1" applyAlignment="1">
      <alignment horizontal="center" vertical="center"/>
    </xf>
    <xf numFmtId="0" fontId="6" fillId="0" borderId="15" xfId="2" applyFont="1" applyBorder="1" applyAlignment="1">
      <alignment horizontal="center" vertical="center"/>
    </xf>
    <xf numFmtId="0" fontId="6" fillId="0" borderId="16" xfId="2" applyFont="1" applyBorder="1" applyAlignment="1">
      <alignment horizontal="center" vertical="center"/>
    </xf>
    <xf numFmtId="0" fontId="6" fillId="0" borderId="17" xfId="2" applyFont="1" applyBorder="1" applyAlignment="1">
      <alignment horizontal="center" vertical="center"/>
    </xf>
    <xf numFmtId="0" fontId="6" fillId="0" borderId="10" xfId="2" applyFont="1" applyBorder="1">
      <alignment vertical="center"/>
    </xf>
    <xf numFmtId="0" fontId="6" fillId="0" borderId="18" xfId="2" applyFont="1" applyBorder="1" applyAlignment="1">
      <alignment horizontal="center" vertical="center"/>
    </xf>
    <xf numFmtId="0" fontId="6" fillId="0" borderId="19" xfId="2" applyFont="1" applyBorder="1" applyAlignment="1">
      <alignment horizontal="center" vertical="center"/>
    </xf>
    <xf numFmtId="0" fontId="6" fillId="0" borderId="20" xfId="2" applyFont="1" applyBorder="1" applyAlignment="1">
      <alignment horizontal="center" vertical="center"/>
    </xf>
    <xf numFmtId="0" fontId="6" fillId="0" borderId="21" xfId="2" applyFont="1" applyBorder="1" applyAlignment="1">
      <alignment horizontal="center" vertical="center"/>
    </xf>
    <xf numFmtId="0" fontId="6" fillId="0" borderId="22" xfId="2" applyFont="1" applyBorder="1" applyAlignment="1">
      <alignment horizontal="center" vertical="center"/>
    </xf>
    <xf numFmtId="0" fontId="6" fillId="0" borderId="23" xfId="2" applyFont="1" applyBorder="1" applyAlignment="1">
      <alignment horizontal="center" vertical="center"/>
    </xf>
    <xf numFmtId="0" fontId="6" fillId="0" borderId="3" xfId="2" applyFont="1" applyBorder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0" fontId="6" fillId="0" borderId="5" xfId="2" applyFont="1" applyBorder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176" fontId="6" fillId="0" borderId="2" xfId="2" applyNumberFormat="1" applyFont="1" applyBorder="1" applyAlignment="1">
      <alignment horizontal="center" vertical="center"/>
    </xf>
    <xf numFmtId="0" fontId="10" fillId="0" borderId="2" xfId="1" applyNumberFormat="1" applyFont="1" applyBorder="1" applyAlignment="1">
      <alignment horizontal="left" vertical="center"/>
    </xf>
    <xf numFmtId="0" fontId="6" fillId="0" borderId="7" xfId="2" applyFont="1" applyBorder="1" applyAlignment="1">
      <alignment horizontal="left" vertical="center" indent="1"/>
    </xf>
    <xf numFmtId="176" fontId="6" fillId="0" borderId="6" xfId="2" applyNumberFormat="1" applyFont="1" applyBorder="1" applyAlignment="1">
      <alignment horizontal="center" vertical="center"/>
    </xf>
    <xf numFmtId="176" fontId="6" fillId="0" borderId="7" xfId="2" applyNumberFormat="1" applyFont="1" applyBorder="1" applyAlignment="1">
      <alignment horizontal="center" vertical="center"/>
    </xf>
    <xf numFmtId="0" fontId="6" fillId="0" borderId="7" xfId="2" applyFont="1" applyBorder="1" applyAlignment="1">
      <alignment horizontal="center" vertical="center"/>
    </xf>
    <xf numFmtId="0" fontId="6" fillId="0" borderId="8" xfId="2" applyFont="1" applyBorder="1" applyAlignment="1">
      <alignment horizontal="center" vertical="center"/>
    </xf>
    <xf numFmtId="0" fontId="6" fillId="0" borderId="6" xfId="2" applyFont="1" applyBorder="1" applyAlignment="1">
      <alignment horizontal="center" vertical="center"/>
    </xf>
    <xf numFmtId="0" fontId="6" fillId="0" borderId="9" xfId="2" applyFont="1" applyBorder="1" applyAlignment="1">
      <alignment horizontal="center" vertical="center"/>
    </xf>
    <xf numFmtId="0" fontId="6" fillId="0" borderId="10" xfId="2" applyFont="1" applyBorder="1" applyAlignment="1">
      <alignment horizontal="center" vertical="center"/>
    </xf>
    <xf numFmtId="0" fontId="6" fillId="0" borderId="11" xfId="2" applyFont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8" fillId="0" borderId="5" xfId="2" applyFont="1" applyBorder="1" applyAlignment="1">
      <alignment horizontal="center" vertical="center"/>
    </xf>
    <xf numFmtId="0" fontId="6" fillId="0" borderId="10" xfId="2" applyFont="1" applyBorder="1" applyAlignment="1">
      <alignment horizontal="left" vertical="center" indent="1"/>
    </xf>
  </cellXfs>
  <cellStyles count="4">
    <cellStyle name="쉼표 [0]" xfId="1" builtinId="6"/>
    <cellStyle name="쉼표 [0] 6" xfId="3" xr:uid="{8537D929-4DD6-455E-9122-1F41286A3C1D}"/>
    <cellStyle name="표준" xfId="0" builtinId="0"/>
    <cellStyle name="표준 9" xfId="2" xr:uid="{610272F0-6883-4467-9614-8508A7DACA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357188</xdr:colOff>
      <xdr:row>3</xdr:row>
      <xdr:rowOff>153081</xdr:rowOff>
    </xdr:from>
    <xdr:to>
      <xdr:col>18</xdr:col>
      <xdr:colOff>27555</xdr:colOff>
      <xdr:row>6</xdr:row>
      <xdr:rowOff>276906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1A8C5C7-C13F-45C7-A9EF-4D9FB5899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0138" y="1086531"/>
          <a:ext cx="3689917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9F2DC-31B2-4660-AC80-F3BCACE8B8AC}">
  <sheetPr>
    <tabColor theme="7"/>
  </sheetPr>
  <dimension ref="B1:R31"/>
  <sheetViews>
    <sheetView showGridLines="0" tabSelected="1" zoomScaleNormal="100" workbookViewId="0">
      <selection activeCell="H18" sqref="H18"/>
    </sheetView>
  </sheetViews>
  <sheetFormatPr defaultColWidth="9" defaultRowHeight="24.75" customHeight="1"/>
  <cols>
    <col min="1" max="1" width="2" style="5" customWidth="1"/>
    <col min="2" max="2" width="7.75" style="5" customWidth="1"/>
    <col min="3" max="3" width="12.25" style="5" customWidth="1"/>
    <col min="4" max="4" width="12" style="5" customWidth="1"/>
    <col min="5" max="5" width="9.08203125" style="5" customWidth="1"/>
    <col min="6" max="6" width="9" style="5"/>
    <col min="7" max="7" width="7.75" style="5" customWidth="1"/>
    <col min="8" max="8" width="9" style="5"/>
    <col min="9" max="17" width="3" style="5" customWidth="1"/>
    <col min="18" max="18" width="2.75" style="5" hidden="1" customWidth="1"/>
    <col min="19" max="16384" width="9" style="5"/>
  </cols>
  <sheetData>
    <row r="1" spans="2:17" ht="24.75" customHeight="1">
      <c r="B1" s="31" t="s">
        <v>0</v>
      </c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</row>
    <row r="2" spans="2:17" ht="24.75" customHeight="1"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</row>
    <row r="4" spans="2:17" ht="24.75" customHeight="1">
      <c r="B4" s="32" t="str">
        <f>B12</f>
        <v>컴가이드</v>
      </c>
      <c r="C4" s="32"/>
      <c r="D4" s="6" t="s">
        <v>1</v>
      </c>
    </row>
    <row r="5" spans="2:17" ht="24.75" customHeight="1">
      <c r="B5" s="7" t="s">
        <v>2</v>
      </c>
      <c r="C5" s="33" t="s">
        <v>41</v>
      </c>
      <c r="D5" s="33"/>
    </row>
    <row r="6" spans="2:17" ht="24.75" customHeight="1">
      <c r="B6" s="7" t="s">
        <v>3</v>
      </c>
      <c r="C6" s="34">
        <v>45876</v>
      </c>
      <c r="D6" s="34"/>
    </row>
    <row r="7" spans="2:17" ht="24.75" customHeight="1">
      <c r="B7" s="35" t="str">
        <f>"총 발주금액은 "&amp;TEXT(SUMPRODUCT(F17:F31,H17:H31),"\#,##0원")&amp;"입니다."</f>
        <v>총 발주금액은 ₩9,689,270원입니다.</v>
      </c>
      <c r="C7" s="35"/>
      <c r="D7" s="35"/>
    </row>
    <row r="8" spans="2:17" ht="24.75" customHeight="1" thickBot="1"/>
    <row r="9" spans="2:17" s="9" customFormat="1" ht="24.75" customHeight="1">
      <c r="B9" s="28" t="s">
        <v>4</v>
      </c>
      <c r="C9" s="29"/>
      <c r="D9" s="8" t="s">
        <v>5</v>
      </c>
      <c r="E9" s="8" t="s">
        <v>6</v>
      </c>
      <c r="F9" s="8" t="s">
        <v>7</v>
      </c>
      <c r="G9" s="8" t="s">
        <v>8</v>
      </c>
      <c r="H9" s="8" t="s">
        <v>9</v>
      </c>
      <c r="I9" s="29" t="s">
        <v>10</v>
      </c>
      <c r="J9" s="29"/>
      <c r="K9" s="29"/>
      <c r="L9" s="29"/>
      <c r="M9" s="29"/>
      <c r="N9" s="29"/>
      <c r="O9" s="29"/>
      <c r="P9" s="29"/>
      <c r="Q9" s="30"/>
    </row>
    <row r="10" spans="2:17" s="9" customFormat="1" ht="24.75" customHeight="1">
      <c r="B10" s="37">
        <v>45884</v>
      </c>
      <c r="C10" s="38"/>
      <c r="D10" s="10" t="s">
        <v>11</v>
      </c>
      <c r="E10" s="10" t="s">
        <v>12</v>
      </c>
      <c r="F10" s="10" t="s">
        <v>13</v>
      </c>
      <c r="G10" s="10" t="s">
        <v>14</v>
      </c>
      <c r="H10" s="10" t="s">
        <v>15</v>
      </c>
      <c r="I10" s="39" t="s">
        <v>16</v>
      </c>
      <c r="J10" s="39"/>
      <c r="K10" s="39"/>
      <c r="L10" s="39"/>
      <c r="M10" s="39"/>
      <c r="N10" s="39"/>
      <c r="O10" s="39"/>
      <c r="P10" s="39"/>
      <c r="Q10" s="40"/>
    </row>
    <row r="11" spans="2:17" s="9" customFormat="1" ht="24.75" customHeight="1">
      <c r="B11" s="41" t="s">
        <v>17</v>
      </c>
      <c r="C11" s="39"/>
      <c r="D11" s="39" t="s">
        <v>18</v>
      </c>
      <c r="E11" s="39"/>
      <c r="F11" s="39"/>
      <c r="G11" s="39"/>
      <c r="H11" s="10" t="s">
        <v>19</v>
      </c>
      <c r="I11" s="39" t="s">
        <v>10</v>
      </c>
      <c r="J11" s="39"/>
      <c r="K11" s="39"/>
      <c r="L11" s="39"/>
      <c r="M11" s="39"/>
      <c r="N11" s="39"/>
      <c r="O11" s="39"/>
      <c r="P11" s="39"/>
      <c r="Q11" s="40"/>
    </row>
    <row r="12" spans="2:17" s="9" customFormat="1" ht="24.75" customHeight="1" thickBot="1">
      <c r="B12" s="42" t="s">
        <v>20</v>
      </c>
      <c r="C12" s="43"/>
      <c r="D12" s="43" t="s">
        <v>21</v>
      </c>
      <c r="E12" s="43"/>
      <c r="F12" s="43"/>
      <c r="G12" s="43"/>
      <c r="H12" s="11" t="s">
        <v>40</v>
      </c>
      <c r="I12" s="43" t="s">
        <v>22</v>
      </c>
      <c r="J12" s="43"/>
      <c r="K12" s="43"/>
      <c r="L12" s="43"/>
      <c r="M12" s="43"/>
      <c r="N12" s="43"/>
      <c r="O12" s="43"/>
      <c r="P12" s="43"/>
      <c r="Q12" s="44"/>
    </row>
    <row r="14" spans="2:17" ht="24.75" customHeight="1">
      <c r="B14" s="45" t="s">
        <v>23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</row>
    <row r="15" spans="2:17" ht="24.75" customHeight="1" thickBot="1"/>
    <row r="16" spans="2:17" ht="24.75" customHeight="1">
      <c r="B16" s="12" t="s">
        <v>24</v>
      </c>
      <c r="C16" s="46" t="s">
        <v>25</v>
      </c>
      <c r="D16" s="46"/>
      <c r="E16" s="13" t="s">
        <v>26</v>
      </c>
      <c r="F16" s="13" t="s">
        <v>27</v>
      </c>
      <c r="G16" s="13" t="s">
        <v>28</v>
      </c>
      <c r="H16" s="13" t="s">
        <v>29</v>
      </c>
      <c r="I16" s="46" t="s">
        <v>30</v>
      </c>
      <c r="J16" s="46"/>
      <c r="K16" s="46"/>
      <c r="L16" s="46"/>
      <c r="M16" s="46"/>
      <c r="N16" s="46"/>
      <c r="O16" s="46"/>
      <c r="P16" s="46"/>
      <c r="Q16" s="47"/>
    </row>
    <row r="17" spans="2:18" ht="24.75" customHeight="1">
      <c r="B17" s="1">
        <v>1</v>
      </c>
      <c r="C17" s="36" t="s">
        <v>31</v>
      </c>
      <c r="D17" s="36"/>
      <c r="E17" s="14" t="s">
        <v>32</v>
      </c>
      <c r="F17" s="2">
        <v>5</v>
      </c>
      <c r="G17" s="14" t="s">
        <v>33</v>
      </c>
      <c r="H17" s="2">
        <v>52000</v>
      </c>
      <c r="I17" s="15" t="str">
        <f>MID($R17,COLUMN()-8,1)</f>
        <v xml:space="preserve"> </v>
      </c>
      <c r="J17" s="16" t="str">
        <f t="shared" ref="J17:Q31" si="0">MID($R17,COLUMN()-8,1)</f>
        <v xml:space="preserve"> </v>
      </c>
      <c r="K17" s="17" t="str">
        <f t="shared" si="0"/>
        <v xml:space="preserve"> </v>
      </c>
      <c r="L17" s="15" t="str">
        <f t="shared" si="0"/>
        <v>2</v>
      </c>
      <c r="M17" s="16" t="str">
        <f t="shared" si="0"/>
        <v>6</v>
      </c>
      <c r="N17" s="18" t="str">
        <f t="shared" si="0"/>
        <v>0</v>
      </c>
      <c r="O17" s="19" t="str">
        <f t="shared" si="0"/>
        <v>0</v>
      </c>
      <c r="P17" s="16" t="str">
        <f t="shared" si="0"/>
        <v>0</v>
      </c>
      <c r="Q17" s="20" t="str">
        <f t="shared" si="0"/>
        <v>0</v>
      </c>
      <c r="R17" s="5" t="str">
        <f>TEXT(F17*H17,"?????????")</f>
        <v xml:space="preserve">   260000</v>
      </c>
    </row>
    <row r="18" spans="2:18" ht="24.75" customHeight="1">
      <c r="B18" s="1">
        <v>2</v>
      </c>
      <c r="C18" s="36" t="s">
        <v>34</v>
      </c>
      <c r="D18" s="36"/>
      <c r="E18" s="14" t="s">
        <v>35</v>
      </c>
      <c r="F18" s="2">
        <v>90</v>
      </c>
      <c r="G18" s="14" t="s">
        <v>36</v>
      </c>
      <c r="H18" s="2">
        <v>83800</v>
      </c>
      <c r="I18" s="15" t="str">
        <f t="shared" ref="I18:I31" si="1">MID($R18,COLUMN()-8,1)</f>
        <v xml:space="preserve"> </v>
      </c>
      <c r="J18" s="16" t="str">
        <f t="shared" si="0"/>
        <v xml:space="preserve"> </v>
      </c>
      <c r="K18" s="17" t="str">
        <f t="shared" si="0"/>
        <v>7</v>
      </c>
      <c r="L18" s="15" t="str">
        <f t="shared" si="0"/>
        <v>5</v>
      </c>
      <c r="M18" s="16" t="str">
        <f t="shared" si="0"/>
        <v>4</v>
      </c>
      <c r="N18" s="18" t="str">
        <f t="shared" si="0"/>
        <v>2</v>
      </c>
      <c r="O18" s="19" t="str">
        <f t="shared" si="0"/>
        <v>0</v>
      </c>
      <c r="P18" s="16" t="str">
        <f t="shared" si="0"/>
        <v>0</v>
      </c>
      <c r="Q18" s="20" t="str">
        <f t="shared" si="0"/>
        <v>0</v>
      </c>
      <c r="R18" s="5" t="str">
        <f t="shared" ref="R18:R31" si="2">TEXT(F18*H18,"?????????")</f>
        <v xml:space="preserve">  7542000</v>
      </c>
    </row>
    <row r="19" spans="2:18" ht="24.75" customHeight="1">
      <c r="B19" s="1">
        <v>3</v>
      </c>
      <c r="C19" s="36" t="s">
        <v>37</v>
      </c>
      <c r="D19" s="36"/>
      <c r="E19" s="14" t="s">
        <v>38</v>
      </c>
      <c r="F19" s="2">
        <v>43</v>
      </c>
      <c r="G19" s="14" t="s">
        <v>39</v>
      </c>
      <c r="H19" s="2">
        <v>43890</v>
      </c>
      <c r="I19" s="15" t="str">
        <f t="shared" si="1"/>
        <v xml:space="preserve"> </v>
      </c>
      <c r="J19" s="16" t="str">
        <f t="shared" si="0"/>
        <v xml:space="preserve"> </v>
      </c>
      <c r="K19" s="17" t="str">
        <f t="shared" si="0"/>
        <v>1</v>
      </c>
      <c r="L19" s="15" t="str">
        <f t="shared" si="0"/>
        <v>8</v>
      </c>
      <c r="M19" s="16" t="str">
        <f t="shared" si="0"/>
        <v>8</v>
      </c>
      <c r="N19" s="18" t="str">
        <f t="shared" si="0"/>
        <v>7</v>
      </c>
      <c r="O19" s="19" t="str">
        <f t="shared" si="0"/>
        <v>2</v>
      </c>
      <c r="P19" s="16" t="str">
        <f t="shared" si="0"/>
        <v>7</v>
      </c>
      <c r="Q19" s="20" t="str">
        <f t="shared" si="0"/>
        <v>0</v>
      </c>
      <c r="R19" s="5" t="str">
        <f t="shared" si="2"/>
        <v xml:space="preserve">  1887270</v>
      </c>
    </row>
    <row r="20" spans="2:18" ht="24.75" customHeight="1">
      <c r="B20" s="1">
        <v>4</v>
      </c>
      <c r="C20" s="36"/>
      <c r="D20" s="36"/>
      <c r="E20" s="14"/>
      <c r="F20" s="2"/>
      <c r="G20" s="14"/>
      <c r="H20" s="2"/>
      <c r="I20" s="15" t="str">
        <f t="shared" si="1"/>
        <v xml:space="preserve"> </v>
      </c>
      <c r="J20" s="16" t="str">
        <f t="shared" si="0"/>
        <v xml:space="preserve"> </v>
      </c>
      <c r="K20" s="17" t="str">
        <f t="shared" si="0"/>
        <v xml:space="preserve"> </v>
      </c>
      <c r="L20" s="15" t="str">
        <f t="shared" si="0"/>
        <v xml:space="preserve"> </v>
      </c>
      <c r="M20" s="16" t="str">
        <f t="shared" si="0"/>
        <v xml:space="preserve"> </v>
      </c>
      <c r="N20" s="18" t="str">
        <f t="shared" si="0"/>
        <v xml:space="preserve"> </v>
      </c>
      <c r="O20" s="19" t="str">
        <f t="shared" si="0"/>
        <v xml:space="preserve"> </v>
      </c>
      <c r="P20" s="16" t="str">
        <f t="shared" si="0"/>
        <v xml:space="preserve"> </v>
      </c>
      <c r="Q20" s="20" t="str">
        <f t="shared" si="0"/>
        <v xml:space="preserve"> </v>
      </c>
      <c r="R20" s="5" t="str">
        <f t="shared" si="2"/>
        <v xml:space="preserve">         </v>
      </c>
    </row>
    <row r="21" spans="2:18" ht="24.75" customHeight="1">
      <c r="B21" s="1">
        <v>5</v>
      </c>
      <c r="C21" s="36"/>
      <c r="D21" s="36"/>
      <c r="E21" s="14"/>
      <c r="F21" s="2"/>
      <c r="G21" s="14"/>
      <c r="H21" s="2"/>
      <c r="I21" s="15" t="str">
        <f t="shared" si="1"/>
        <v xml:space="preserve"> </v>
      </c>
      <c r="J21" s="16" t="str">
        <f t="shared" si="0"/>
        <v xml:space="preserve"> </v>
      </c>
      <c r="K21" s="17" t="str">
        <f t="shared" si="0"/>
        <v xml:space="preserve"> </v>
      </c>
      <c r="L21" s="15" t="str">
        <f t="shared" si="0"/>
        <v xml:space="preserve"> </v>
      </c>
      <c r="M21" s="16" t="str">
        <f t="shared" si="0"/>
        <v xml:space="preserve"> </v>
      </c>
      <c r="N21" s="18" t="str">
        <f t="shared" si="0"/>
        <v xml:space="preserve"> </v>
      </c>
      <c r="O21" s="19" t="str">
        <f t="shared" si="0"/>
        <v xml:space="preserve"> </v>
      </c>
      <c r="P21" s="16" t="str">
        <f t="shared" si="0"/>
        <v xml:space="preserve"> </v>
      </c>
      <c r="Q21" s="20" t="str">
        <f t="shared" si="0"/>
        <v xml:space="preserve"> </v>
      </c>
      <c r="R21" s="5" t="str">
        <f t="shared" si="2"/>
        <v xml:space="preserve">         </v>
      </c>
    </row>
    <row r="22" spans="2:18" ht="24.75" customHeight="1">
      <c r="B22" s="1">
        <v>6</v>
      </c>
      <c r="C22" s="36"/>
      <c r="D22" s="36"/>
      <c r="E22" s="14"/>
      <c r="F22" s="2"/>
      <c r="G22" s="14"/>
      <c r="H22" s="2"/>
      <c r="I22" s="15" t="str">
        <f t="shared" si="1"/>
        <v xml:space="preserve"> </v>
      </c>
      <c r="J22" s="16" t="str">
        <f t="shared" si="0"/>
        <v xml:space="preserve"> </v>
      </c>
      <c r="K22" s="17" t="str">
        <f t="shared" si="0"/>
        <v xml:space="preserve"> </v>
      </c>
      <c r="L22" s="15" t="str">
        <f t="shared" si="0"/>
        <v xml:space="preserve"> </v>
      </c>
      <c r="M22" s="16" t="str">
        <f t="shared" si="0"/>
        <v xml:space="preserve"> </v>
      </c>
      <c r="N22" s="18" t="str">
        <f t="shared" si="0"/>
        <v xml:space="preserve"> </v>
      </c>
      <c r="O22" s="19" t="str">
        <f t="shared" si="0"/>
        <v xml:space="preserve"> </v>
      </c>
      <c r="P22" s="16" t="str">
        <f t="shared" si="0"/>
        <v xml:space="preserve"> </v>
      </c>
      <c r="Q22" s="20" t="str">
        <f t="shared" si="0"/>
        <v xml:space="preserve"> </v>
      </c>
      <c r="R22" s="5" t="str">
        <f t="shared" si="2"/>
        <v xml:space="preserve">         </v>
      </c>
    </row>
    <row r="23" spans="2:18" ht="24.75" customHeight="1">
      <c r="B23" s="1">
        <v>7</v>
      </c>
      <c r="C23" s="36"/>
      <c r="D23" s="36"/>
      <c r="E23" s="14"/>
      <c r="F23" s="2"/>
      <c r="G23" s="14"/>
      <c r="H23" s="2"/>
      <c r="I23" s="15" t="str">
        <f t="shared" si="1"/>
        <v xml:space="preserve"> </v>
      </c>
      <c r="J23" s="16" t="str">
        <f t="shared" si="0"/>
        <v xml:space="preserve"> </v>
      </c>
      <c r="K23" s="17" t="str">
        <f t="shared" si="0"/>
        <v xml:space="preserve"> </v>
      </c>
      <c r="L23" s="15" t="str">
        <f t="shared" si="0"/>
        <v xml:space="preserve"> </v>
      </c>
      <c r="M23" s="16" t="str">
        <f t="shared" si="0"/>
        <v xml:space="preserve"> </v>
      </c>
      <c r="N23" s="18" t="str">
        <f t="shared" si="0"/>
        <v xml:space="preserve"> </v>
      </c>
      <c r="O23" s="19" t="str">
        <f t="shared" si="0"/>
        <v xml:space="preserve"> </v>
      </c>
      <c r="P23" s="16" t="str">
        <f t="shared" si="0"/>
        <v xml:space="preserve"> </v>
      </c>
      <c r="Q23" s="20" t="str">
        <f t="shared" si="0"/>
        <v xml:space="preserve"> </v>
      </c>
      <c r="R23" s="5" t="str">
        <f t="shared" si="2"/>
        <v xml:space="preserve">         </v>
      </c>
    </row>
    <row r="24" spans="2:18" ht="24.75" customHeight="1">
      <c r="B24" s="1">
        <v>8</v>
      </c>
      <c r="C24" s="36"/>
      <c r="D24" s="36"/>
      <c r="E24" s="14"/>
      <c r="F24" s="2"/>
      <c r="G24" s="14"/>
      <c r="H24" s="2"/>
      <c r="I24" s="15" t="str">
        <f t="shared" si="1"/>
        <v xml:space="preserve"> </v>
      </c>
      <c r="J24" s="16" t="str">
        <f t="shared" si="0"/>
        <v xml:space="preserve"> </v>
      </c>
      <c r="K24" s="17" t="str">
        <f t="shared" si="0"/>
        <v xml:space="preserve"> </v>
      </c>
      <c r="L24" s="15" t="str">
        <f t="shared" si="0"/>
        <v xml:space="preserve"> </v>
      </c>
      <c r="M24" s="16" t="str">
        <f t="shared" si="0"/>
        <v xml:space="preserve"> </v>
      </c>
      <c r="N24" s="18" t="str">
        <f t="shared" si="0"/>
        <v xml:space="preserve"> </v>
      </c>
      <c r="O24" s="19" t="str">
        <f t="shared" si="0"/>
        <v xml:space="preserve"> </v>
      </c>
      <c r="P24" s="16" t="str">
        <f t="shared" si="0"/>
        <v xml:space="preserve"> </v>
      </c>
      <c r="Q24" s="20" t="str">
        <f t="shared" si="0"/>
        <v xml:space="preserve"> </v>
      </c>
      <c r="R24" s="5" t="str">
        <f t="shared" si="2"/>
        <v xml:space="preserve">         </v>
      </c>
    </row>
    <row r="25" spans="2:18" ht="24.75" customHeight="1">
      <c r="B25" s="1">
        <v>9</v>
      </c>
      <c r="C25" s="36"/>
      <c r="D25" s="36"/>
      <c r="E25" s="14"/>
      <c r="F25" s="2"/>
      <c r="G25" s="14"/>
      <c r="H25" s="2"/>
      <c r="I25" s="15" t="str">
        <f t="shared" si="1"/>
        <v xml:space="preserve"> </v>
      </c>
      <c r="J25" s="16" t="str">
        <f t="shared" si="0"/>
        <v xml:space="preserve"> </v>
      </c>
      <c r="K25" s="17" t="str">
        <f t="shared" si="0"/>
        <v xml:space="preserve"> </v>
      </c>
      <c r="L25" s="15" t="str">
        <f t="shared" si="0"/>
        <v xml:space="preserve"> </v>
      </c>
      <c r="M25" s="16" t="str">
        <f t="shared" si="0"/>
        <v xml:space="preserve"> </v>
      </c>
      <c r="N25" s="18" t="str">
        <f t="shared" si="0"/>
        <v xml:space="preserve"> </v>
      </c>
      <c r="O25" s="19" t="str">
        <f t="shared" si="0"/>
        <v xml:space="preserve"> </v>
      </c>
      <c r="P25" s="16" t="str">
        <f t="shared" si="0"/>
        <v xml:space="preserve"> </v>
      </c>
      <c r="Q25" s="20" t="str">
        <f t="shared" si="0"/>
        <v xml:space="preserve"> </v>
      </c>
      <c r="R25" s="5" t="str">
        <f t="shared" si="2"/>
        <v xml:space="preserve">         </v>
      </c>
    </row>
    <row r="26" spans="2:18" ht="24.75" customHeight="1">
      <c r="B26" s="1">
        <v>10</v>
      </c>
      <c r="C26" s="36"/>
      <c r="D26" s="36"/>
      <c r="E26" s="14"/>
      <c r="F26" s="2"/>
      <c r="G26" s="14"/>
      <c r="H26" s="2"/>
      <c r="I26" s="15" t="str">
        <f t="shared" si="1"/>
        <v xml:space="preserve"> </v>
      </c>
      <c r="J26" s="16" t="str">
        <f t="shared" si="0"/>
        <v xml:space="preserve"> </v>
      </c>
      <c r="K26" s="17" t="str">
        <f t="shared" si="0"/>
        <v xml:space="preserve"> </v>
      </c>
      <c r="L26" s="15" t="str">
        <f t="shared" si="0"/>
        <v xml:space="preserve"> </v>
      </c>
      <c r="M26" s="16" t="str">
        <f t="shared" si="0"/>
        <v xml:space="preserve"> </v>
      </c>
      <c r="N26" s="18" t="str">
        <f t="shared" si="0"/>
        <v xml:space="preserve"> </v>
      </c>
      <c r="O26" s="19" t="str">
        <f t="shared" si="0"/>
        <v xml:space="preserve"> </v>
      </c>
      <c r="P26" s="16" t="str">
        <f t="shared" si="0"/>
        <v xml:space="preserve"> </v>
      </c>
      <c r="Q26" s="20" t="str">
        <f t="shared" si="0"/>
        <v xml:space="preserve"> </v>
      </c>
      <c r="R26" s="5" t="str">
        <f t="shared" si="2"/>
        <v xml:space="preserve">         </v>
      </c>
    </row>
    <row r="27" spans="2:18" ht="24.75" customHeight="1">
      <c r="B27" s="1">
        <v>11</v>
      </c>
      <c r="C27" s="36"/>
      <c r="D27" s="36"/>
      <c r="E27" s="14"/>
      <c r="F27" s="2"/>
      <c r="G27" s="14"/>
      <c r="H27" s="2"/>
      <c r="I27" s="15" t="str">
        <f t="shared" si="1"/>
        <v xml:space="preserve"> </v>
      </c>
      <c r="J27" s="16" t="str">
        <f t="shared" si="0"/>
        <v xml:space="preserve"> </v>
      </c>
      <c r="K27" s="17" t="str">
        <f t="shared" si="0"/>
        <v xml:space="preserve"> </v>
      </c>
      <c r="L27" s="15" t="str">
        <f t="shared" si="0"/>
        <v xml:space="preserve"> </v>
      </c>
      <c r="M27" s="16" t="str">
        <f t="shared" si="0"/>
        <v xml:space="preserve"> </v>
      </c>
      <c r="N27" s="18" t="str">
        <f t="shared" si="0"/>
        <v xml:space="preserve"> </v>
      </c>
      <c r="O27" s="19" t="str">
        <f t="shared" si="0"/>
        <v xml:space="preserve"> </v>
      </c>
      <c r="P27" s="16" t="str">
        <f t="shared" si="0"/>
        <v xml:space="preserve"> </v>
      </c>
      <c r="Q27" s="20" t="str">
        <f t="shared" si="0"/>
        <v xml:space="preserve"> </v>
      </c>
      <c r="R27" s="5" t="str">
        <f t="shared" si="2"/>
        <v xml:space="preserve">         </v>
      </c>
    </row>
    <row r="28" spans="2:18" ht="24.75" customHeight="1">
      <c r="B28" s="1">
        <v>12</v>
      </c>
      <c r="C28" s="36"/>
      <c r="D28" s="36"/>
      <c r="E28" s="14"/>
      <c r="F28" s="2"/>
      <c r="G28" s="14"/>
      <c r="H28" s="2"/>
      <c r="I28" s="15" t="str">
        <f t="shared" si="1"/>
        <v xml:space="preserve"> </v>
      </c>
      <c r="J28" s="16" t="str">
        <f t="shared" si="0"/>
        <v xml:space="preserve"> </v>
      </c>
      <c r="K28" s="17" t="str">
        <f t="shared" si="0"/>
        <v xml:space="preserve"> </v>
      </c>
      <c r="L28" s="15" t="str">
        <f t="shared" si="0"/>
        <v xml:space="preserve"> </v>
      </c>
      <c r="M28" s="16" t="str">
        <f t="shared" si="0"/>
        <v xml:space="preserve"> </v>
      </c>
      <c r="N28" s="18" t="str">
        <f t="shared" si="0"/>
        <v xml:space="preserve"> </v>
      </c>
      <c r="O28" s="19" t="str">
        <f t="shared" si="0"/>
        <v xml:space="preserve"> </v>
      </c>
      <c r="P28" s="16" t="str">
        <f t="shared" si="0"/>
        <v xml:space="preserve"> </v>
      </c>
      <c r="Q28" s="20" t="str">
        <f t="shared" si="0"/>
        <v xml:space="preserve"> </v>
      </c>
      <c r="R28" s="5" t="str">
        <f t="shared" si="2"/>
        <v xml:space="preserve">         </v>
      </c>
    </row>
    <row r="29" spans="2:18" ht="24.75" customHeight="1">
      <c r="B29" s="1">
        <v>13</v>
      </c>
      <c r="C29" s="36"/>
      <c r="D29" s="36"/>
      <c r="E29" s="14"/>
      <c r="F29" s="2"/>
      <c r="G29" s="14"/>
      <c r="H29" s="2"/>
      <c r="I29" s="15" t="str">
        <f t="shared" si="1"/>
        <v xml:space="preserve"> </v>
      </c>
      <c r="J29" s="16" t="str">
        <f t="shared" si="0"/>
        <v xml:space="preserve"> </v>
      </c>
      <c r="K29" s="17" t="str">
        <f t="shared" si="0"/>
        <v xml:space="preserve"> </v>
      </c>
      <c r="L29" s="15" t="str">
        <f t="shared" si="0"/>
        <v xml:space="preserve"> </v>
      </c>
      <c r="M29" s="16" t="str">
        <f t="shared" si="0"/>
        <v xml:space="preserve"> </v>
      </c>
      <c r="N29" s="18" t="str">
        <f t="shared" si="0"/>
        <v xml:space="preserve"> </v>
      </c>
      <c r="O29" s="19" t="str">
        <f t="shared" si="0"/>
        <v xml:space="preserve"> </v>
      </c>
      <c r="P29" s="16" t="str">
        <f t="shared" si="0"/>
        <v xml:space="preserve"> </v>
      </c>
      <c r="Q29" s="20" t="str">
        <f t="shared" si="0"/>
        <v xml:space="preserve"> </v>
      </c>
      <c r="R29" s="5" t="str">
        <f t="shared" si="2"/>
        <v xml:space="preserve">         </v>
      </c>
    </row>
    <row r="30" spans="2:18" ht="24.75" customHeight="1">
      <c r="B30" s="1">
        <v>14</v>
      </c>
      <c r="C30" s="36"/>
      <c r="D30" s="36"/>
      <c r="E30" s="14"/>
      <c r="F30" s="2"/>
      <c r="G30" s="14"/>
      <c r="H30" s="2"/>
      <c r="I30" s="15" t="str">
        <f t="shared" si="1"/>
        <v xml:space="preserve"> </v>
      </c>
      <c r="J30" s="16" t="str">
        <f t="shared" si="0"/>
        <v xml:space="preserve"> </v>
      </c>
      <c r="K30" s="17" t="str">
        <f t="shared" si="0"/>
        <v xml:space="preserve"> </v>
      </c>
      <c r="L30" s="15" t="str">
        <f t="shared" si="0"/>
        <v xml:space="preserve"> </v>
      </c>
      <c r="M30" s="16" t="str">
        <f t="shared" si="0"/>
        <v xml:space="preserve"> </v>
      </c>
      <c r="N30" s="18" t="str">
        <f t="shared" si="0"/>
        <v xml:space="preserve"> </v>
      </c>
      <c r="O30" s="19" t="str">
        <f t="shared" si="0"/>
        <v xml:space="preserve"> </v>
      </c>
      <c r="P30" s="16" t="str">
        <f t="shared" si="0"/>
        <v xml:space="preserve"> </v>
      </c>
      <c r="Q30" s="20" t="str">
        <f t="shared" si="0"/>
        <v xml:space="preserve"> </v>
      </c>
      <c r="R30" s="5" t="str">
        <f t="shared" si="2"/>
        <v xml:space="preserve">         </v>
      </c>
    </row>
    <row r="31" spans="2:18" ht="24.75" customHeight="1" thickBot="1">
      <c r="B31" s="3">
        <v>15</v>
      </c>
      <c r="C31" s="48"/>
      <c r="D31" s="48"/>
      <c r="E31" s="21"/>
      <c r="F31" s="4"/>
      <c r="G31" s="21"/>
      <c r="H31" s="4"/>
      <c r="I31" s="22" t="str">
        <f t="shared" si="1"/>
        <v xml:space="preserve"> </v>
      </c>
      <c r="J31" s="23" t="str">
        <f t="shared" si="0"/>
        <v xml:space="preserve"> </v>
      </c>
      <c r="K31" s="24" t="str">
        <f t="shared" si="0"/>
        <v xml:space="preserve"> </v>
      </c>
      <c r="L31" s="22" t="str">
        <f t="shared" si="0"/>
        <v xml:space="preserve"> </v>
      </c>
      <c r="M31" s="23" t="str">
        <f t="shared" si="0"/>
        <v xml:space="preserve"> </v>
      </c>
      <c r="N31" s="25" t="str">
        <f t="shared" si="0"/>
        <v xml:space="preserve"> </v>
      </c>
      <c r="O31" s="26" t="str">
        <f t="shared" si="0"/>
        <v xml:space="preserve"> </v>
      </c>
      <c r="P31" s="23" t="str">
        <f t="shared" si="0"/>
        <v xml:space="preserve"> </v>
      </c>
      <c r="Q31" s="27" t="str">
        <f t="shared" si="0"/>
        <v xml:space="preserve"> </v>
      </c>
      <c r="R31" s="5" t="str">
        <f t="shared" si="2"/>
        <v xml:space="preserve">         </v>
      </c>
    </row>
  </sheetData>
  <mergeCells count="33">
    <mergeCell ref="C31:D31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19:D19"/>
    <mergeCell ref="B10:C10"/>
    <mergeCell ref="I10:Q10"/>
    <mergeCell ref="B11:C11"/>
    <mergeCell ref="D11:G11"/>
    <mergeCell ref="I11:Q11"/>
    <mergeCell ref="B12:C12"/>
    <mergeCell ref="D12:G12"/>
    <mergeCell ref="I12:Q12"/>
    <mergeCell ref="B14:Q14"/>
    <mergeCell ref="C16:D16"/>
    <mergeCell ref="I16:Q16"/>
    <mergeCell ref="C17:D17"/>
    <mergeCell ref="C18:D18"/>
    <mergeCell ref="B9:C9"/>
    <mergeCell ref="I9:Q9"/>
    <mergeCell ref="B1:Q2"/>
    <mergeCell ref="B4:C4"/>
    <mergeCell ref="C5:D5"/>
    <mergeCell ref="C6:D6"/>
    <mergeCell ref="B7:D7"/>
  </mergeCells>
  <phoneticPr fontId="3" type="noConversion"/>
  <pageMargins left="0.7" right="0.7" top="0.75" bottom="0.75" header="0.3" footer="0.3"/>
  <pageSetup paperSize="9" orientation="portrait" horizontalDpi="4294967293" verticalDpi="4294967293" copies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발주서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2018-12-10T13:32:05Z</dcterms:created>
  <dcterms:modified xsi:type="dcterms:W3CDTF">2025-08-05T18:52:06Z</dcterms:modified>
</cp:coreProperties>
</file>
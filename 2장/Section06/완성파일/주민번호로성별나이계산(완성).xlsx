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참고자료\구버전완성파일\Chapter02\Section06\"/>
    </mc:Choice>
  </mc:AlternateContent>
  <xr:revisionPtr revIDLastSave="0" documentId="13_ncr:1_{6ABA2D75-B04D-4FC0-AEEC-03DFE1F8D73D}" xr6:coauthVersionLast="47" xr6:coauthVersionMax="47" xr10:uidLastSave="{00000000-0000-0000-0000-000000000000}"/>
  <bookViews>
    <workbookView xWindow="-19310" yWindow="2410" windowWidth="19420" windowHeight="11020" xr2:uid="{00000000-000D-0000-FFFF-FFFF00000000}"/>
  </bookViews>
  <sheets>
    <sheet name="사원정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3" i="1"/>
  <c r="I4" i="1"/>
  <c r="I5" i="1"/>
  <c r="I6" i="1"/>
  <c r="I7" i="1"/>
  <c r="I8" i="1"/>
  <c r="I9" i="1"/>
  <c r="I10" i="1"/>
  <c r="I11" i="1"/>
  <c r="I3" i="1"/>
  <c r="G4" i="1"/>
  <c r="G5" i="1"/>
  <c r="G6" i="1"/>
  <c r="G7" i="1"/>
  <c r="G8" i="1"/>
  <c r="G9" i="1"/>
  <c r="G10" i="1"/>
  <c r="G11" i="1"/>
  <c r="G3" i="1"/>
</calcChain>
</file>

<file path=xl/sharedStrings.xml><?xml version="1.0" encoding="utf-8"?>
<sst xmlns="http://schemas.openxmlformats.org/spreadsheetml/2006/main" count="53" uniqueCount="49">
  <si>
    <t>사원번호</t>
    <phoneticPr fontId="3" type="noConversion"/>
  </si>
  <si>
    <t>직위</t>
  </si>
  <si>
    <t>자택 전화</t>
  </si>
  <si>
    <t>내선 번호</t>
  </si>
  <si>
    <t>사원</t>
    <phoneticPr fontId="3" type="noConversion"/>
  </si>
  <si>
    <t>(02)578-8988</t>
  </si>
  <si>
    <t>과장</t>
    <phoneticPr fontId="3" type="noConversion"/>
  </si>
  <si>
    <t>대리</t>
    <phoneticPr fontId="3" type="noConversion"/>
  </si>
  <si>
    <t>(051)587-4783</t>
  </si>
  <si>
    <t>부장</t>
    <phoneticPr fontId="3" type="noConversion"/>
  </si>
  <si>
    <t>(031)515-0278</t>
  </si>
  <si>
    <t>(061)983-1985</t>
  </si>
  <si>
    <t>(051)465-1248</t>
  </si>
  <si>
    <t>CG92111</t>
    <phoneticPr fontId="3" type="noConversion"/>
  </si>
  <si>
    <t>CG90112</t>
    <phoneticPr fontId="3" type="noConversion"/>
  </si>
  <si>
    <t>CG91113</t>
    <phoneticPr fontId="3" type="noConversion"/>
  </si>
  <si>
    <t>CG92134</t>
    <phoneticPr fontId="3" type="noConversion"/>
  </si>
  <si>
    <t>CG91115</t>
    <phoneticPr fontId="3" type="noConversion"/>
  </si>
  <si>
    <t>CG90116</t>
    <phoneticPr fontId="3" type="noConversion"/>
  </si>
  <si>
    <t>CG92117</t>
    <phoneticPr fontId="3" type="noConversion"/>
  </si>
  <si>
    <t>CG90118</t>
    <phoneticPr fontId="3" type="noConversion"/>
  </si>
  <si>
    <t>CG91119</t>
    <phoneticPr fontId="3" type="noConversion"/>
  </si>
  <si>
    <t>이름</t>
    <phoneticPr fontId="2" type="noConversion"/>
  </si>
  <si>
    <t>주민번호</t>
    <phoneticPr fontId="2" type="noConversion"/>
  </si>
  <si>
    <t>성별</t>
    <phoneticPr fontId="2" type="noConversion"/>
  </si>
  <si>
    <t>나이</t>
    <phoneticPr fontId="2" type="noConversion"/>
  </si>
  <si>
    <t>(02)518-3876</t>
    <phoneticPr fontId="2" type="noConversion"/>
  </si>
  <si>
    <t>조예준</t>
  </si>
  <si>
    <t>박병철</t>
  </si>
  <si>
    <t>고원지</t>
    <phoneticPr fontId="2" type="noConversion"/>
  </si>
  <si>
    <t>(031)619-0136</t>
    <phoneticPr fontId="2" type="noConversion"/>
  </si>
  <si>
    <t>(061)773-0256</t>
    <phoneticPr fontId="2" type="noConversion"/>
  </si>
  <si>
    <t>(041)119-1784</t>
    <phoneticPr fontId="2" type="noConversion"/>
  </si>
  <si>
    <t>한재호</t>
    <phoneticPr fontId="2" type="noConversion"/>
  </si>
  <si>
    <t>박국희</t>
    <phoneticPr fontId="2" type="noConversion"/>
  </si>
  <si>
    <t>이시안</t>
    <phoneticPr fontId="2" type="noConversion"/>
  </si>
  <si>
    <t>한이경</t>
    <phoneticPr fontId="2" type="noConversion"/>
  </si>
  <si>
    <t>김소훈</t>
    <phoneticPr fontId="2" type="noConversion"/>
  </si>
  <si>
    <t>원성현</t>
    <phoneticPr fontId="2" type="noConversion"/>
  </si>
  <si>
    <t>차장</t>
    <phoneticPr fontId="3" type="noConversion"/>
  </si>
  <si>
    <t>881201-1******</t>
  </si>
  <si>
    <t>960809-1******</t>
  </si>
  <si>
    <t>020403-3******</t>
  </si>
  <si>
    <t>030302-4******</t>
  </si>
  <si>
    <t>860506-2******</t>
  </si>
  <si>
    <t>030109-4******</t>
  </si>
  <si>
    <t>901010-1******</t>
  </si>
  <si>
    <t>870906-1******</t>
  </si>
  <si>
    <t>010410-3******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</si>
</sst>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\-0,,&quot;******&quot;"/>
  </numFmts>
  <fonts count="8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8">
    <xf numFmtId="0" fontId="0" fillId="0" borderId="0" xfId="0">
      <alignment vertical="center"/>
    </xf>
    <xf numFmtId="0" fontId="5" fillId="0" borderId="0" xfId="1" applyFont="1"/>
    <xf numFmtId="0" fontId="5" fillId="0" borderId="1" xfId="1" applyFont="1" applyFill="1" applyBorder="1" applyAlignment="1">
      <alignment horizontal="center" wrapText="1"/>
    </xf>
    <xf numFmtId="0" fontId="5" fillId="0" borderId="1" xfId="1" applyFont="1" applyFill="1" applyBorder="1" applyAlignment="1">
      <alignment wrapText="1"/>
    </xf>
    <xf numFmtId="0" fontId="5" fillId="0" borderId="2" xfId="1" applyFont="1" applyFill="1" applyBorder="1" applyAlignment="1">
      <alignment horizontal="center" wrapText="1"/>
    </xf>
    <xf numFmtId="0" fontId="5" fillId="0" borderId="0" xfId="1" applyFont="1" applyAlignment="1">
      <alignment horizontal="center"/>
    </xf>
    <xf numFmtId="0" fontId="6" fillId="0" borderId="0" xfId="0" applyFont="1">
      <alignment vertical="center"/>
    </xf>
    <xf numFmtId="176" fontId="5" fillId="0" borderId="2" xfId="2" applyNumberFormat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wrapText="1"/>
    </xf>
    <xf numFmtId="0" fontId="5" fillId="0" borderId="3" xfId="1" applyFont="1" applyFill="1" applyBorder="1" applyAlignment="1">
      <alignment wrapText="1"/>
    </xf>
    <xf numFmtId="0" fontId="5" fillId="0" borderId="2" xfId="1" applyFont="1" applyFill="1" applyBorder="1" applyAlignment="1">
      <alignment wrapText="1"/>
    </xf>
    <xf numFmtId="0" fontId="5" fillId="0" borderId="2" xfId="1" applyFont="1" applyBorder="1" applyAlignment="1">
      <alignment horizontal="center"/>
    </xf>
    <xf numFmtId="0" fontId="5" fillId="0" borderId="2" xfId="1" applyNumberFormat="1" applyFont="1" applyFill="1" applyBorder="1" applyAlignment="1">
      <alignment horizontal="center" wrapText="1"/>
    </xf>
    <xf numFmtId="0" fontId="5" fillId="0" borderId="2" xfId="1" quotePrefix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/>
    </xf>
    <xf numFmtId="0" fontId="5" fillId="0" borderId="2" xfId="1" applyNumberFormat="1" applyFont="1" applyBorder="1" applyAlignment="1">
      <alignment horizontal="center"/>
    </xf>
  </cellXfs>
  <cellStyles count="3">
    <cellStyle name="표준" xfId="0" builtinId="0"/>
    <cellStyle name="표준 10" xfId="1" xr:uid="{00000000-0005-0000-0000-000001000000}"/>
    <cellStyle name="표준_Sheet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"/>
  <sheetViews>
    <sheetView tabSelected="1" workbookViewId="0">
      <selection activeCell="E7" sqref="E7"/>
    </sheetView>
  </sheetViews>
  <sheetFormatPr defaultColWidth="9" defaultRowHeight="17.25" customHeight="1" x14ac:dyDescent="0.45"/>
  <cols>
    <col min="1" max="1" width="9.25" style="1" bestFit="1" customWidth="1"/>
    <col min="2" max="2" width="9.1640625" style="5" customWidth="1"/>
    <col min="3" max="3" width="17.25" style="6" customWidth="1"/>
    <col min="4" max="4" width="6.25" style="5" customWidth="1"/>
    <col min="5" max="5" width="13.58203125" style="1" customWidth="1"/>
    <col min="6" max="6" width="9.75" style="5" bestFit="1" customWidth="1"/>
    <col min="7" max="8" width="12.6640625" style="1" customWidth="1"/>
    <col min="9" max="16384" width="9" style="1"/>
  </cols>
  <sheetData>
    <row r="2" spans="1:9" ht="17.25" customHeight="1" x14ac:dyDescent="0.45">
      <c r="A2" s="14" t="s">
        <v>0</v>
      </c>
      <c r="B2" s="14" t="s">
        <v>22</v>
      </c>
      <c r="C2" s="15" t="s">
        <v>23</v>
      </c>
      <c r="D2" s="14" t="s">
        <v>1</v>
      </c>
      <c r="E2" s="14" t="s">
        <v>2</v>
      </c>
      <c r="F2" s="14" t="s">
        <v>3</v>
      </c>
      <c r="G2" s="16" t="s">
        <v>24</v>
      </c>
      <c r="H2" s="16" t="s">
        <v>25</v>
      </c>
    </row>
    <row r="3" spans="1:9" ht="17.25" customHeight="1" x14ac:dyDescent="0.45">
      <c r="A3" s="4" t="s">
        <v>14</v>
      </c>
      <c r="B3" s="4" t="s">
        <v>28</v>
      </c>
      <c r="C3" s="7" t="s">
        <v>40</v>
      </c>
      <c r="D3" s="4" t="s">
        <v>6</v>
      </c>
      <c r="E3" s="10" t="s">
        <v>30</v>
      </c>
      <c r="F3" s="12">
        <v>3457</v>
      </c>
      <c r="G3" s="11" t="str">
        <f>IF(OR(MID(C3,8,1)="1",MID(C3,8,1)="3"),"남자","여자")</f>
        <v>남자</v>
      </c>
      <c r="H3" s="17">
        <f ca="1">DATEDIF(DATE(LEFT(C3,2)+I3,MID(C3,3,2),MID(C3,5,2)),TODAY(),"Y")</f>
        <v>36</v>
      </c>
      <c r="I3" s="1">
        <f>IF(LEFT(C3,1)="0",2000,1900)</f>
        <v>1900</v>
      </c>
    </row>
    <row r="4" spans="1:9" ht="17.25" customHeight="1" x14ac:dyDescent="0.45">
      <c r="A4" s="4" t="s">
        <v>18</v>
      </c>
      <c r="B4" s="4" t="s">
        <v>27</v>
      </c>
      <c r="C4" s="7" t="s">
        <v>41</v>
      </c>
      <c r="D4" s="4" t="s">
        <v>6</v>
      </c>
      <c r="E4" s="10" t="s">
        <v>26</v>
      </c>
      <c r="F4" s="13">
        <v>428</v>
      </c>
      <c r="G4" s="11" t="str">
        <f t="shared" ref="G4:G11" si="0">IF(OR(MID(C4,8,1)="1",MID(C4,8,1)="3"),"남자","여자")</f>
        <v>남자</v>
      </c>
      <c r="H4" s="17">
        <f t="shared" ref="H4:H11" ca="1" si="1">DATEDIF(DATE(LEFT(C4,2)+I4,MID(C4,3,2),MID(C4,5,2)),TODAY(),"Y")</f>
        <v>28</v>
      </c>
      <c r="I4" s="1">
        <f t="shared" ref="I4:I11" si="2">IF(LEFT(C4,1)="0",2000,1900)</f>
        <v>1900</v>
      </c>
    </row>
    <row r="5" spans="1:9" ht="17.25" customHeight="1" x14ac:dyDescent="0.45">
      <c r="A5" s="4" t="s">
        <v>20</v>
      </c>
      <c r="B5" s="4" t="s">
        <v>33</v>
      </c>
      <c r="C5" s="7" t="s">
        <v>42</v>
      </c>
      <c r="D5" s="4" t="s">
        <v>7</v>
      </c>
      <c r="E5" s="10" t="s">
        <v>11</v>
      </c>
      <c r="F5" s="12">
        <v>2344</v>
      </c>
      <c r="G5" s="11" t="str">
        <f t="shared" si="0"/>
        <v>남자</v>
      </c>
      <c r="H5" s="17">
        <f t="shared" ca="1" si="1"/>
        <v>23</v>
      </c>
      <c r="I5" s="1">
        <f t="shared" si="2"/>
        <v>2000</v>
      </c>
    </row>
    <row r="6" spans="1:9" ht="17.25" customHeight="1" x14ac:dyDescent="0.45">
      <c r="A6" s="4" t="s">
        <v>15</v>
      </c>
      <c r="B6" s="4" t="s">
        <v>34</v>
      </c>
      <c r="C6" s="7" t="s">
        <v>43</v>
      </c>
      <c r="D6" s="4" t="s">
        <v>4</v>
      </c>
      <c r="E6" s="10" t="s">
        <v>31</v>
      </c>
      <c r="F6" s="12">
        <v>3355</v>
      </c>
      <c r="G6" s="11" t="str">
        <f t="shared" si="0"/>
        <v>여자</v>
      </c>
      <c r="H6" s="17">
        <f t="shared" ca="1" si="1"/>
        <v>22</v>
      </c>
      <c r="I6" s="1">
        <f t="shared" si="2"/>
        <v>2000</v>
      </c>
    </row>
    <row r="7" spans="1:9" ht="17.25" customHeight="1" x14ac:dyDescent="0.45">
      <c r="A7" s="4" t="s">
        <v>17</v>
      </c>
      <c r="B7" s="4" t="s">
        <v>35</v>
      </c>
      <c r="C7" s="7" t="s">
        <v>44</v>
      </c>
      <c r="D7" s="4" t="s">
        <v>9</v>
      </c>
      <c r="E7" s="10" t="s">
        <v>10</v>
      </c>
      <c r="F7" s="12">
        <v>3453</v>
      </c>
      <c r="G7" s="11" t="str">
        <f t="shared" si="0"/>
        <v>여자</v>
      </c>
      <c r="H7" s="17">
        <f t="shared" ca="1" si="1"/>
        <v>39</v>
      </c>
      <c r="I7" s="1">
        <f t="shared" si="2"/>
        <v>1900</v>
      </c>
    </row>
    <row r="8" spans="1:9" ht="17.25" customHeight="1" x14ac:dyDescent="0.45">
      <c r="A8" s="4" t="s">
        <v>21</v>
      </c>
      <c r="B8" s="4" t="s">
        <v>36</v>
      </c>
      <c r="C8" s="7" t="s">
        <v>45</v>
      </c>
      <c r="D8" s="4" t="s">
        <v>4</v>
      </c>
      <c r="E8" s="10" t="s">
        <v>12</v>
      </c>
      <c r="F8" s="13">
        <v>452</v>
      </c>
      <c r="G8" s="11" t="str">
        <f t="shared" si="0"/>
        <v>여자</v>
      </c>
      <c r="H8" s="17">
        <f t="shared" ca="1" si="1"/>
        <v>22</v>
      </c>
      <c r="I8" s="1">
        <f t="shared" si="2"/>
        <v>2000</v>
      </c>
    </row>
    <row r="9" spans="1:9" ht="17.25" customHeight="1" x14ac:dyDescent="0.45">
      <c r="A9" s="4" t="s">
        <v>13</v>
      </c>
      <c r="B9" s="4" t="s">
        <v>29</v>
      </c>
      <c r="C9" s="7" t="s">
        <v>46</v>
      </c>
      <c r="D9" s="4" t="s">
        <v>39</v>
      </c>
      <c r="E9" s="10" t="s">
        <v>5</v>
      </c>
      <c r="F9" s="12">
        <v>5467</v>
      </c>
      <c r="G9" s="11" t="str">
        <f t="shared" si="0"/>
        <v>남자</v>
      </c>
      <c r="H9" s="17">
        <f t="shared" ca="1" si="1"/>
        <v>34</v>
      </c>
      <c r="I9" s="1">
        <f t="shared" si="2"/>
        <v>1900</v>
      </c>
    </row>
    <row r="10" spans="1:9" ht="17.25" customHeight="1" x14ac:dyDescent="0.45">
      <c r="A10" s="4" t="s">
        <v>19</v>
      </c>
      <c r="B10" s="4" t="s">
        <v>37</v>
      </c>
      <c r="C10" s="7" t="s">
        <v>47</v>
      </c>
      <c r="D10" s="4" t="s">
        <v>7</v>
      </c>
      <c r="E10" s="10" t="s">
        <v>32</v>
      </c>
      <c r="F10" s="13">
        <v>465</v>
      </c>
      <c r="G10" s="11" t="str">
        <f t="shared" si="0"/>
        <v>남자</v>
      </c>
      <c r="H10" s="17">
        <f t="shared" ca="1" si="1"/>
        <v>37</v>
      </c>
      <c r="I10" s="1">
        <f t="shared" si="2"/>
        <v>1900</v>
      </c>
    </row>
    <row r="11" spans="1:9" ht="17.25" customHeight="1" x14ac:dyDescent="0.45">
      <c r="A11" s="4" t="s">
        <v>16</v>
      </c>
      <c r="B11" s="4" t="s">
        <v>38</v>
      </c>
      <c r="C11" s="7" t="s">
        <v>48</v>
      </c>
      <c r="D11" s="4" t="s">
        <v>4</v>
      </c>
      <c r="E11" s="10" t="s">
        <v>8</v>
      </c>
      <c r="F11" s="12">
        <v>5176</v>
      </c>
      <c r="G11" s="11" t="str">
        <f t="shared" si="0"/>
        <v>남자</v>
      </c>
      <c r="H11" s="17">
        <f t="shared" ca="1" si="1"/>
        <v>24</v>
      </c>
      <c r="I11" s="1">
        <f t="shared" si="2"/>
        <v>2000</v>
      </c>
    </row>
    <row r="12" spans="1:9" ht="17.25" customHeight="1" x14ac:dyDescent="0.45">
      <c r="A12" s="8"/>
      <c r="B12" s="8"/>
      <c r="D12" s="8"/>
      <c r="E12" s="9"/>
      <c r="F12" s="8"/>
    </row>
    <row r="13" spans="1:9" ht="17.25" customHeight="1" x14ac:dyDescent="0.45">
      <c r="A13" s="2"/>
      <c r="B13" s="2"/>
      <c r="D13" s="2"/>
      <c r="E13" s="3"/>
      <c r="F13" s="2"/>
    </row>
    <row r="14" spans="1:9" ht="17.25" customHeight="1" x14ac:dyDescent="0.45">
      <c r="A14" s="2"/>
      <c r="B14" s="2"/>
      <c r="D14" s="2"/>
      <c r="E14" s="3"/>
      <c r="F14" s="2"/>
    </row>
  </sheetData>
  <sortState xmlns:xlrd2="http://schemas.microsoft.com/office/spreadsheetml/2017/richdata2" ref="A3:H11">
    <sortCondition ref="A5"/>
  </sortState>
  <phoneticPr fontId="2" type="noConversion"/>
  <dataValidations count="1">
    <dataValidation type="custom" allowBlank="1" showInputMessage="1" showErrorMessage="1" sqref="A3:A14" xr:uid="{00000000-0002-0000-0000-000000000000}">
      <formula1>"countif($A$3:A4,A4)&lt;1"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사원정보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2015-01-29T15:49:50Z</dcterms:created>
  <dcterms:modified xsi:type="dcterms:W3CDTF">2025-08-02T20:12:20Z</dcterms:modified>
</cp:coreProperties>
</file>
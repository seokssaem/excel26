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안내" sheetId="1" state="visible" r:id="rId1"/>
    <sheet xmlns:r="http://schemas.openxmlformats.org/officeDocument/2006/relationships" name="민원대장" sheetId="2" state="visible" r:id="rId2"/>
    <sheet xmlns:r="http://schemas.openxmlformats.org/officeDocument/2006/relationships" name="설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D6F42"/>
      <sz val="16"/>
    </font>
    <font>
      <name val="맑은 고딕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B7791F"/>
      </patternFill>
    </fill>
  </fills>
  <borders count="2">
    <border>
      <left/>
      <right/>
      <top/>
      <bottom/>
      <diagonal/>
    </border>
    <border>
      <left style="thin">
        <color rgb="00C9D3CD"/>
      </left>
      <right style="thin">
        <color rgb="00C9D3CD"/>
      </right>
      <top style="thin">
        <color rgb="00C9D3CD"/>
      </top>
      <bottom style="thin">
        <color rgb="00C9D3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8B4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1·2일차 · 민원 대장 정리(완성)</t>
        </is>
      </c>
    </row>
    <row r="4" ht="20" customHeight="1">
      <c r="B4" s="2" t="inlineStr">
        <is>
          <t>실습 목표 · 지저분한 민원 대장을 분석 가능한 데이터로 만들기</t>
        </is>
      </c>
    </row>
    <row r="5" ht="20" customHeight="1">
      <c r="B5" s="3" t="inlineStr">
        <is>
          <t>교재 연계 · 1장 Section 02 (데이터 편집), Section 01 (작업 필수 기능), 2장 Section 05 (텍스트·날짜 함수)</t>
        </is>
      </c>
    </row>
    <row r="6" ht="20" customHeight="1">
      <c r="B6" s="3" t="inlineStr">
        <is>
          <t>데이터 · 전부 가상 데이터입니다. 이름·연락처·주소는 실제 인물과 무관합니다.</t>
        </is>
      </c>
    </row>
    <row r="7" ht="20" customHeight="1">
      <c r="B7" s="2" t="inlineStr">
        <is>
          <t>진행 순서</t>
        </is>
      </c>
    </row>
    <row r="8" ht="20" customHeight="1">
      <c r="B8" s="3" t="inlineStr">
        <is>
          <t>(1일차) 1) [데이터]→[중복된 항목 제거]로 접수번호 중복 행 제거 (몇 건이 지워지는지 확인)</t>
        </is>
      </c>
    </row>
    <row r="9" ht="20" customHeight="1">
      <c r="B9" s="3" t="inlineStr">
        <is>
          <t>2) J열: 접수일이 날짜/글자 혼재 → 모두 진짜 날짜로 (직접 수식 → AI 프롬프트 → 결과 비교)</t>
        </is>
      </c>
    </row>
    <row r="10" ht="20" customHeight="1">
      <c r="B10" s="3" t="inlineStr">
        <is>
          <t>3) K열 연락처 010-0000-0000 통일, L열 주소에서 '구'만 추출, M열 부서명 공백 통일, N열 상태값 공백 제거</t>
        </is>
      </c>
    </row>
    <row r="11" ht="20" customHeight="1">
      <c r="B11" s="3" t="inlineStr">
        <is>
          <t>(2일차) 4) O열 경과(처리)일수, P열 14일 초과 건 표시 후 조건부 서식으로 빨간색 강조</t>
        </is>
      </c>
    </row>
    <row r="12" ht="20" customHeight="1">
      <c r="B12" s="3" t="inlineStr">
        <is>
          <t>5) 설정 시트의 기준일을 바꾸면 결과가 어떻게 변하는지 확인</t>
        </is>
      </c>
    </row>
    <row r="13" ht="20" customHeight="1">
      <c r="B13" s="2" t="inlineStr">
        <is>
          <t>AI 활용 지점</t>
        </is>
      </c>
    </row>
    <row r="14" ht="20" customHeight="1">
      <c r="B14" s="3" t="inlineStr">
        <is>
          <t>· 3)의 주소 분리는 '직접 수식'과 'AI가 만든 수식(TEXTSPLIT 등)'을 모두 시도해 보고, 내 엑셀 버전에서 되는 것을 고릅니다.</t>
        </is>
      </c>
    </row>
    <row r="15" ht="20" customHeight="1">
      <c r="B15" s="3" t="inlineStr">
        <is>
          <t>· AI에게 실제 민원인 정보를 넣지 않습니다. 이 파일처럼 가상/샘플 데이터 구조만 사용합니다.</t>
        </is>
      </c>
    </row>
    <row r="16" ht="20" customHeight="1">
      <c r="B16" s="2" t="inlineStr">
        <is>
          <t>정답 확인</t>
        </is>
      </c>
    </row>
    <row r="17" ht="20" customHeight="1">
      <c r="B17" s="3" t="inlineStr">
        <is>
          <t>중복 제거 후 행 수 72건 / 기한초과(처리중 &amp; 14일 초과)·지연처리 건수는 P열 필터로 확인 (설정 기준일 2026-10-31)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5" customWidth="1" min="4" max="4"/>
    <col width="34" customWidth="1" min="5" max="5"/>
    <col width="13" customWidth="1" min="6" max="6"/>
    <col width="26" customWidth="1" min="7" max="7"/>
    <col width="10" customWidth="1" min="8" max="8"/>
    <col width="12" customWidth="1" min="9" max="9"/>
    <col width="13" customWidth="1" min="10" max="10"/>
    <col width="15" customWidth="1" min="11" max="11"/>
    <col width="9" customWidth="1" min="12" max="12"/>
    <col width="12" customWidth="1" min="13" max="13"/>
    <col width="10" customWidth="1" min="14" max="14"/>
    <col width="13" customWidth="1" min="15" max="15"/>
    <col width="11" customWidth="1" min="16" max="16"/>
  </cols>
  <sheetData>
    <row r="1">
      <c r="A1" s="4" t="inlineStr">
        <is>
          <t>접수번호</t>
        </is>
      </c>
      <c r="B1" s="4" t="inlineStr">
        <is>
          <t>접수일</t>
        </is>
      </c>
      <c r="C1" s="4" t="inlineStr">
        <is>
          <t>민원인</t>
        </is>
      </c>
      <c r="D1" s="4" t="inlineStr">
        <is>
          <t>연락처</t>
        </is>
      </c>
      <c r="E1" s="4" t="inlineStr">
        <is>
          <t>주소</t>
        </is>
      </c>
      <c r="F1" s="4" t="inlineStr">
        <is>
          <t>담당부서</t>
        </is>
      </c>
      <c r="G1" s="4" t="inlineStr">
        <is>
          <t>민원내용</t>
        </is>
      </c>
      <c r="H1" s="4" t="inlineStr">
        <is>
          <t>처리상태</t>
        </is>
      </c>
      <c r="I1" s="4" t="inlineStr">
        <is>
          <t>처리완료일</t>
        </is>
      </c>
      <c r="J1" s="5" t="inlineStr">
        <is>
          <t>정제_접수일</t>
        </is>
      </c>
      <c r="K1" s="5" t="inlineStr">
        <is>
          <t>정제_연락처</t>
        </is>
      </c>
      <c r="L1" s="5" t="inlineStr">
        <is>
          <t>정제_구</t>
        </is>
      </c>
      <c r="M1" s="5" t="inlineStr">
        <is>
          <t>정제_부서</t>
        </is>
      </c>
      <c r="N1" s="5" t="inlineStr">
        <is>
          <t>정제_상태</t>
        </is>
      </c>
      <c r="O1" s="5" t="inlineStr">
        <is>
          <t>경과(처리)일수</t>
        </is>
      </c>
      <c r="P1" s="5" t="inlineStr">
        <is>
          <t>기한초과</t>
        </is>
      </c>
    </row>
    <row r="2">
      <c r="A2" s="6" t="inlineStr">
        <is>
          <t>2026-0001</t>
        </is>
      </c>
      <c r="B2" s="7" t="n">
        <v>46315</v>
      </c>
      <c r="C2" s="6" t="inlineStr">
        <is>
          <t>서현우</t>
        </is>
      </c>
      <c r="D2" s="6" t="inlineStr">
        <is>
          <t>01044862807</t>
        </is>
      </c>
      <c r="E2" s="6" t="inlineStr">
        <is>
          <t>대구광역시 수성구 지산동 12-27</t>
        </is>
      </c>
      <c r="F2" s="6" t="inlineStr">
        <is>
          <t>교통행정과</t>
        </is>
      </c>
      <c r="G2" s="6" t="inlineStr">
        <is>
          <t>버스노선 조정 건의</t>
        </is>
      </c>
      <c r="H2" s="6" t="inlineStr">
        <is>
          <t>완료</t>
        </is>
      </c>
      <c r="I2" s="7" t="n">
        <v>46316</v>
      </c>
      <c r="J2" s="7">
        <f>IF(ISNUMBER(B2),B2,DATE(VALUE(LEFT(B2,4)),VALUE(MID(B2,6,2)),VALUE(RIGHT(B2,2))))</f>
        <v/>
      </c>
      <c r="K2" s="6">
        <f>LEFT(SUBSTITUTE(SUBSTITUTE(D2,"-","")," ",""),3)&amp;"-"&amp;MID(SUBSTITUTE(SUBSTITUTE(D2,"-","")," ",""),4,4)&amp;"-"&amp;RIGHT(SUBSTITUTE(SUBSTITUTE(D2,"-","")," ",""),4)</f>
        <v/>
      </c>
      <c r="L2" s="6">
        <f>TRIM(MID(SUBSTITUTE(TRIM(E2)," ",REPT(" ",50)),51,50))</f>
        <v/>
      </c>
      <c r="M2" s="6">
        <f>SUBSTITUTE(F2," ","")</f>
        <v/>
      </c>
      <c r="N2" s="6">
        <f>TRIM(H2)</f>
        <v/>
      </c>
      <c r="O2" s="6">
        <f>IF(I2="",설정!$B$2-J2,I2-J2)</f>
        <v/>
      </c>
      <c r="P2" s="6">
        <f>IF(O2&gt;14,IF(N2="처리중","기한초과","지연처리"),"")</f>
        <v/>
      </c>
    </row>
    <row r="3">
      <c r="A3" s="6" t="inlineStr">
        <is>
          <t>2026-0009</t>
        </is>
      </c>
      <c r="B3" s="6" t="inlineStr">
        <is>
          <t>2026.10.10</t>
        </is>
      </c>
      <c r="C3" s="6" t="inlineStr">
        <is>
          <t>정소율</t>
        </is>
      </c>
      <c r="D3" s="6" t="inlineStr">
        <is>
          <t>01077949368</t>
        </is>
      </c>
      <c r="E3" s="6" t="inlineStr">
        <is>
          <t>대구광역시 북구 만촌동 589-25</t>
        </is>
      </c>
      <c r="F3" s="6" t="inlineStr">
        <is>
          <t>도로과</t>
        </is>
      </c>
      <c r="G3" s="6" t="inlineStr">
        <is>
          <t>도로 파손(포트홀) 신고</t>
        </is>
      </c>
      <c r="H3" s="6" t="inlineStr">
        <is>
          <t>처리중</t>
        </is>
      </c>
      <c r="I3" s="7" t="n"/>
      <c r="J3" s="7">
        <f>IF(ISNUMBER(B3),B3,DATE(VALUE(LEFT(B3,4)),VALUE(MID(B3,6,2)),VALUE(RIGHT(B3,2))))</f>
        <v/>
      </c>
      <c r="K3" s="6">
        <f>LEFT(SUBSTITUTE(SUBSTITUTE(D3,"-","")," ",""),3)&amp;"-"&amp;MID(SUBSTITUTE(SUBSTITUTE(D3,"-","")," ",""),4,4)&amp;"-"&amp;RIGHT(SUBSTITUTE(SUBSTITUTE(D3,"-","")," ",""),4)</f>
        <v/>
      </c>
      <c r="L3" s="6">
        <f>TRIM(MID(SUBSTITUTE(TRIM(E3)," ",REPT(" ",50)),51,50))</f>
        <v/>
      </c>
      <c r="M3" s="6">
        <f>SUBSTITUTE(F3," ","")</f>
        <v/>
      </c>
      <c r="N3" s="6">
        <f>TRIM(H3)</f>
        <v/>
      </c>
      <c r="O3" s="6">
        <f>IF(I3="",설정!$B$2-J3,I3-J3)</f>
        <v/>
      </c>
      <c r="P3" s="6">
        <f>IF(O3&gt;14,IF(N3="처리중","기한초과","지연처리"),"")</f>
        <v/>
      </c>
    </row>
    <row r="4">
      <c r="A4" s="6" t="inlineStr">
        <is>
          <t>2026-0002</t>
        </is>
      </c>
      <c r="B4" s="6" t="inlineStr">
        <is>
          <t>2026.09.23</t>
        </is>
      </c>
      <c r="C4" s="6" t="inlineStr">
        <is>
          <t>임민준</t>
        </is>
      </c>
      <c r="D4" s="6" t="inlineStr">
        <is>
          <t>01075686986</t>
        </is>
      </c>
      <c r="E4" s="6" t="inlineStr">
        <is>
          <t xml:space="preserve">  대구광역시  동구 신암동 295-15</t>
        </is>
      </c>
      <c r="F4" s="6" t="inlineStr">
        <is>
          <t>건축과</t>
        </is>
      </c>
      <c r="G4" s="6" t="inlineStr">
        <is>
          <t>건축허가 처리 문의</t>
        </is>
      </c>
      <c r="H4" s="6" t="inlineStr">
        <is>
          <t>이관</t>
        </is>
      </c>
      <c r="I4" s="7" t="n">
        <v>46305</v>
      </c>
      <c r="J4" s="7">
        <f>IF(ISNUMBER(B4),B4,DATE(VALUE(LEFT(B4,4)),VALUE(MID(B4,6,2)),VALUE(RIGHT(B4,2))))</f>
        <v/>
      </c>
      <c r="K4" s="6">
        <f>LEFT(SUBSTITUTE(SUBSTITUTE(D4,"-","")," ",""),3)&amp;"-"&amp;MID(SUBSTITUTE(SUBSTITUTE(D4,"-","")," ",""),4,4)&amp;"-"&amp;RIGHT(SUBSTITUTE(SUBSTITUTE(D4,"-","")," ",""),4)</f>
        <v/>
      </c>
      <c r="L4" s="6">
        <f>TRIM(MID(SUBSTITUTE(TRIM(E4)," ",REPT(" ",50)),51,50))</f>
        <v/>
      </c>
      <c r="M4" s="6">
        <f>SUBSTITUTE(F4," ","")</f>
        <v/>
      </c>
      <c r="N4" s="6">
        <f>TRIM(H4)</f>
        <v/>
      </c>
      <c r="O4" s="6">
        <f>IF(I4="",설정!$B$2-J4,I4-J4)</f>
        <v/>
      </c>
      <c r="P4" s="6">
        <f>IF(O4&gt;14,IF(N4="처리중","기한초과","지연처리"),"")</f>
        <v/>
      </c>
    </row>
    <row r="5">
      <c r="A5" s="6" t="inlineStr">
        <is>
          <t>2026-0003</t>
        </is>
      </c>
      <c r="B5" s="6" t="inlineStr">
        <is>
          <t>2026.09.24</t>
        </is>
      </c>
      <c r="C5" s="6" t="inlineStr">
        <is>
          <t>안현우</t>
        </is>
      </c>
      <c r="D5" s="6" t="inlineStr">
        <is>
          <t>010 9690 1508</t>
        </is>
      </c>
      <c r="E5" s="6" t="inlineStr">
        <is>
          <t>대구광역시 중구 침산동 822-25</t>
        </is>
      </c>
      <c r="F5" s="6" t="inlineStr">
        <is>
          <t>건축과</t>
        </is>
      </c>
      <c r="G5" s="6" t="inlineStr">
        <is>
          <t>건축허가 처리 문의</t>
        </is>
      </c>
      <c r="H5" s="6" t="inlineStr">
        <is>
          <t>완료</t>
        </is>
      </c>
      <c r="I5" s="7" t="n">
        <v>46302</v>
      </c>
      <c r="J5" s="7">
        <f>IF(ISNUMBER(B5),B5,DATE(VALUE(LEFT(B5,4)),VALUE(MID(B5,6,2)),VALUE(RIGHT(B5,2))))</f>
        <v/>
      </c>
      <c r="K5" s="6">
        <f>LEFT(SUBSTITUTE(SUBSTITUTE(D5,"-","")," ",""),3)&amp;"-"&amp;MID(SUBSTITUTE(SUBSTITUTE(D5,"-","")," ",""),4,4)&amp;"-"&amp;RIGHT(SUBSTITUTE(SUBSTITUTE(D5,"-","")," ",""),4)</f>
        <v/>
      </c>
      <c r="L5" s="6">
        <f>TRIM(MID(SUBSTITUTE(TRIM(E5)," ",REPT(" ",50)),51,50))</f>
        <v/>
      </c>
      <c r="M5" s="6">
        <f>SUBSTITUTE(F5," ","")</f>
        <v/>
      </c>
      <c r="N5" s="6">
        <f>TRIM(H5)</f>
        <v/>
      </c>
      <c r="O5" s="6">
        <f>IF(I5="",설정!$B$2-J5,I5-J5)</f>
        <v/>
      </c>
      <c r="P5" s="6">
        <f>IF(O5&gt;14,IF(N5="처리중","기한초과","지연처리"),"")</f>
        <v/>
      </c>
    </row>
    <row r="6">
      <c r="A6" s="6" t="inlineStr">
        <is>
          <t>2026-0004</t>
        </is>
      </c>
      <c r="B6" s="7" t="n">
        <v>46302</v>
      </c>
      <c r="C6" s="6" t="inlineStr">
        <is>
          <t>황정훈</t>
        </is>
      </c>
      <c r="D6" s="6" t="inlineStr">
        <is>
          <t>010 4731 3932</t>
        </is>
      </c>
      <c r="E6" s="6" t="inlineStr">
        <is>
          <t xml:space="preserve">  대구광역시  서구 침산동 909-22</t>
        </is>
      </c>
      <c r="F6" s="6" t="inlineStr">
        <is>
          <t>건축과</t>
        </is>
      </c>
      <c r="G6" s="6" t="inlineStr">
        <is>
          <t>불법 건축물 신고</t>
        </is>
      </c>
      <c r="H6" s="6" t="inlineStr">
        <is>
          <t>완료</t>
        </is>
      </c>
      <c r="I6" s="7" t="n">
        <v>46303</v>
      </c>
      <c r="J6" s="7">
        <f>IF(ISNUMBER(B6),B6,DATE(VALUE(LEFT(B6,4)),VALUE(MID(B6,6,2)),VALUE(RIGHT(B6,2))))</f>
        <v/>
      </c>
      <c r="K6" s="6">
        <f>LEFT(SUBSTITUTE(SUBSTITUTE(D6,"-","")," ",""),3)&amp;"-"&amp;MID(SUBSTITUTE(SUBSTITUTE(D6,"-","")," ",""),4,4)&amp;"-"&amp;RIGHT(SUBSTITUTE(SUBSTITUTE(D6,"-","")," ",""),4)</f>
        <v/>
      </c>
      <c r="L6" s="6">
        <f>TRIM(MID(SUBSTITUTE(TRIM(E6)," ",REPT(" ",50)),51,50))</f>
        <v/>
      </c>
      <c r="M6" s="6">
        <f>SUBSTITUTE(F6," ","")</f>
        <v/>
      </c>
      <c r="N6" s="6">
        <f>TRIM(H6)</f>
        <v/>
      </c>
      <c r="O6" s="6">
        <f>IF(I6="",설정!$B$2-J6,I6-J6)</f>
        <v/>
      </c>
      <c r="P6" s="6">
        <f>IF(O6&gt;14,IF(N6="처리중","기한초과","지연처리"),"")</f>
        <v/>
      </c>
    </row>
    <row r="7">
      <c r="A7" s="6" t="inlineStr">
        <is>
          <t>2026-0005</t>
        </is>
      </c>
      <c r="B7" s="6" t="inlineStr">
        <is>
          <t>2026.09.08</t>
        </is>
      </c>
      <c r="C7" s="6" t="inlineStr">
        <is>
          <t>서다은</t>
        </is>
      </c>
      <c r="D7" s="6" t="inlineStr">
        <is>
          <t>010-6368-9519</t>
        </is>
      </c>
      <c r="E7" s="6" t="inlineStr">
        <is>
          <t>대구광역시 서구 신암동 562-26</t>
        </is>
      </c>
      <c r="F7" s="6" t="inlineStr">
        <is>
          <t>민원봉사과</t>
        </is>
      </c>
      <c r="G7" s="6" t="inlineStr">
        <is>
          <t>증명서 발급 문의</t>
        </is>
      </c>
      <c r="H7" s="6" t="inlineStr">
        <is>
          <t>처리중</t>
        </is>
      </c>
      <c r="I7" s="7" t="n"/>
      <c r="J7" s="7">
        <f>IF(ISNUMBER(B7),B7,DATE(VALUE(LEFT(B7,4)),VALUE(MID(B7,6,2)),VALUE(RIGHT(B7,2))))</f>
        <v/>
      </c>
      <c r="K7" s="6">
        <f>LEFT(SUBSTITUTE(SUBSTITUTE(D7,"-","")," ",""),3)&amp;"-"&amp;MID(SUBSTITUTE(SUBSTITUTE(D7,"-","")," ",""),4,4)&amp;"-"&amp;RIGHT(SUBSTITUTE(SUBSTITUTE(D7,"-","")," ",""),4)</f>
        <v/>
      </c>
      <c r="L7" s="6">
        <f>TRIM(MID(SUBSTITUTE(TRIM(E7)," ",REPT(" ",50)),51,50))</f>
        <v/>
      </c>
      <c r="M7" s="6">
        <f>SUBSTITUTE(F7," ","")</f>
        <v/>
      </c>
      <c r="N7" s="6">
        <f>TRIM(H7)</f>
        <v/>
      </c>
      <c r="O7" s="6">
        <f>IF(I7="",설정!$B$2-J7,I7-J7)</f>
        <v/>
      </c>
      <c r="P7" s="6">
        <f>IF(O7&gt;14,IF(N7="처리중","기한초과","지연처리"),"")</f>
        <v/>
      </c>
    </row>
    <row r="8">
      <c r="A8" s="6" t="inlineStr">
        <is>
          <t>2026-0006</t>
        </is>
      </c>
      <c r="B8" s="6" t="inlineStr">
        <is>
          <t>2026.09.19</t>
        </is>
      </c>
      <c r="C8" s="6" t="inlineStr">
        <is>
          <t>황가영</t>
        </is>
      </c>
      <c r="D8" s="6" t="inlineStr">
        <is>
          <t>010 9150 2247</t>
        </is>
      </c>
      <c r="E8" s="6" t="inlineStr">
        <is>
          <t>대구광역시 중구 내당동 944-7</t>
        </is>
      </c>
      <c r="F8" s="6" t="inlineStr">
        <is>
          <t>복지정책과</t>
        </is>
      </c>
      <c r="G8" s="6" t="inlineStr">
        <is>
          <t>노인돌봄서비스 신청 문의</t>
        </is>
      </c>
      <c r="H8" s="6" t="inlineStr">
        <is>
          <t>완료</t>
        </is>
      </c>
      <c r="I8" s="7" t="n">
        <v>46289</v>
      </c>
      <c r="J8" s="7">
        <f>IF(ISNUMBER(B8),B8,DATE(VALUE(LEFT(B8,4)),VALUE(MID(B8,6,2)),VALUE(RIGHT(B8,2))))</f>
        <v/>
      </c>
      <c r="K8" s="6">
        <f>LEFT(SUBSTITUTE(SUBSTITUTE(D8,"-","")," ",""),3)&amp;"-"&amp;MID(SUBSTITUTE(SUBSTITUTE(D8,"-","")," ",""),4,4)&amp;"-"&amp;RIGHT(SUBSTITUTE(SUBSTITUTE(D8,"-","")," ",""),4)</f>
        <v/>
      </c>
      <c r="L8" s="6">
        <f>TRIM(MID(SUBSTITUTE(TRIM(E8)," ",REPT(" ",50)),51,50))</f>
        <v/>
      </c>
      <c r="M8" s="6">
        <f>SUBSTITUTE(F8," ","")</f>
        <v/>
      </c>
      <c r="N8" s="6">
        <f>TRIM(H8)</f>
        <v/>
      </c>
      <c r="O8" s="6">
        <f>IF(I8="",설정!$B$2-J8,I8-J8)</f>
        <v/>
      </c>
      <c r="P8" s="6">
        <f>IF(O8&gt;14,IF(N8="처리중","기한초과","지연처리"),"")</f>
        <v/>
      </c>
    </row>
    <row r="9">
      <c r="A9" s="6" t="inlineStr">
        <is>
          <t>2026-0007</t>
        </is>
      </c>
      <c r="B9" s="7" t="n">
        <v>46301</v>
      </c>
      <c r="C9" s="6" t="inlineStr">
        <is>
          <t>황도윤</t>
        </is>
      </c>
      <c r="D9" s="6" t="inlineStr">
        <is>
          <t>010-4320-3533</t>
        </is>
      </c>
      <c r="E9" s="6" t="inlineStr">
        <is>
          <t>대구광역시 서구 침산동 266-15</t>
        </is>
      </c>
      <c r="F9" s="6" t="inlineStr">
        <is>
          <t xml:space="preserve">민원봉사과 </t>
        </is>
      </c>
      <c r="G9" s="6" t="inlineStr">
        <is>
          <t>민원실 이용 불편 건의</t>
        </is>
      </c>
      <c r="H9" s="6" t="inlineStr">
        <is>
          <t>이관</t>
        </is>
      </c>
      <c r="I9" s="7" t="n">
        <v>46311</v>
      </c>
      <c r="J9" s="7">
        <f>IF(ISNUMBER(B9),B9,DATE(VALUE(LEFT(B9,4)),VALUE(MID(B9,6,2)),VALUE(RIGHT(B9,2))))</f>
        <v/>
      </c>
      <c r="K9" s="6">
        <f>LEFT(SUBSTITUTE(SUBSTITUTE(D9,"-","")," ",""),3)&amp;"-"&amp;MID(SUBSTITUTE(SUBSTITUTE(D9,"-","")," ",""),4,4)&amp;"-"&amp;RIGHT(SUBSTITUTE(SUBSTITUTE(D9,"-","")," ",""),4)</f>
        <v/>
      </c>
      <c r="L9" s="6">
        <f>TRIM(MID(SUBSTITUTE(TRIM(E9)," ",REPT(" ",50)),51,50))</f>
        <v/>
      </c>
      <c r="M9" s="6">
        <f>SUBSTITUTE(F9," ","")</f>
        <v/>
      </c>
      <c r="N9" s="6">
        <f>TRIM(H9)</f>
        <v/>
      </c>
      <c r="O9" s="6">
        <f>IF(I9="",설정!$B$2-J9,I9-J9)</f>
        <v/>
      </c>
      <c r="P9" s="6">
        <f>IF(O9&gt;14,IF(N9="처리중","기한초과","지연처리"),"")</f>
        <v/>
      </c>
    </row>
    <row r="10">
      <c r="A10" s="6" t="inlineStr">
        <is>
          <t>2026-0008</t>
        </is>
      </c>
      <c r="B10" s="6" t="inlineStr">
        <is>
          <t>2026.10.02</t>
        </is>
      </c>
      <c r="C10" s="6" t="inlineStr">
        <is>
          <t>조지우</t>
        </is>
      </c>
      <c r="D10" s="6" t="inlineStr">
        <is>
          <t>010-4964-3929</t>
        </is>
      </c>
      <c r="E10" s="6" t="inlineStr">
        <is>
          <t>대구광역시 수성구 상인동 1-15</t>
        </is>
      </c>
      <c r="F10" s="6" t="inlineStr">
        <is>
          <t>복지정책과</t>
        </is>
      </c>
      <c r="G10" s="6" t="inlineStr">
        <is>
          <t>기초생활수급 상담</t>
        </is>
      </c>
      <c r="H10" s="6" t="inlineStr">
        <is>
          <t>완료</t>
        </is>
      </c>
      <c r="I10" s="7" t="n">
        <v>46321</v>
      </c>
      <c r="J10" s="7">
        <f>IF(ISNUMBER(B10),B10,DATE(VALUE(LEFT(B10,4)),VALUE(MID(B10,6,2)),VALUE(RIGHT(B10,2))))</f>
        <v/>
      </c>
      <c r="K10" s="6">
        <f>LEFT(SUBSTITUTE(SUBSTITUTE(D10,"-","")," ",""),3)&amp;"-"&amp;MID(SUBSTITUTE(SUBSTITUTE(D10,"-","")," ",""),4,4)&amp;"-"&amp;RIGHT(SUBSTITUTE(SUBSTITUTE(D10,"-","")," ",""),4)</f>
        <v/>
      </c>
      <c r="L10" s="6">
        <f>TRIM(MID(SUBSTITUTE(TRIM(E10)," ",REPT(" ",50)),51,50))</f>
        <v/>
      </c>
      <c r="M10" s="6">
        <f>SUBSTITUTE(F10," ","")</f>
        <v/>
      </c>
      <c r="N10" s="6">
        <f>TRIM(H10)</f>
        <v/>
      </c>
      <c r="O10" s="6">
        <f>IF(I10="",설정!$B$2-J10,I10-J10)</f>
        <v/>
      </c>
      <c r="P10" s="6">
        <f>IF(O10&gt;14,IF(N10="처리중","기한초과","지연처리"),"")</f>
        <v/>
      </c>
    </row>
    <row r="11">
      <c r="A11" s="6" t="inlineStr">
        <is>
          <t>2026-0009</t>
        </is>
      </c>
      <c r="B11" s="6" t="inlineStr">
        <is>
          <t>2026.10.10</t>
        </is>
      </c>
      <c r="C11" s="6" t="inlineStr">
        <is>
          <t>정소율</t>
        </is>
      </c>
      <c r="D11" s="6" t="inlineStr">
        <is>
          <t>01077949368</t>
        </is>
      </c>
      <c r="E11" s="6" t="inlineStr">
        <is>
          <t>대구광역시 북구 만촌동 589-25</t>
        </is>
      </c>
      <c r="F11" s="6" t="inlineStr">
        <is>
          <t>도로과</t>
        </is>
      </c>
      <c r="G11" s="6" t="inlineStr">
        <is>
          <t>도로 파손(포트홀) 신고</t>
        </is>
      </c>
      <c r="H11" s="6" t="inlineStr">
        <is>
          <t>처리중</t>
        </is>
      </c>
      <c r="I11" s="7" t="n"/>
      <c r="J11" s="7">
        <f>IF(ISNUMBER(B11),B11,DATE(VALUE(LEFT(B11,4)),VALUE(MID(B11,6,2)),VALUE(RIGHT(B11,2))))</f>
        <v/>
      </c>
      <c r="K11" s="6">
        <f>LEFT(SUBSTITUTE(SUBSTITUTE(D11,"-","")," ",""),3)&amp;"-"&amp;MID(SUBSTITUTE(SUBSTITUTE(D11,"-","")," ",""),4,4)&amp;"-"&amp;RIGHT(SUBSTITUTE(SUBSTITUTE(D11,"-","")," ",""),4)</f>
        <v/>
      </c>
      <c r="L11" s="6">
        <f>TRIM(MID(SUBSTITUTE(TRIM(E11)," ",REPT(" ",50)),51,50))</f>
        <v/>
      </c>
      <c r="M11" s="6">
        <f>SUBSTITUTE(F11," ","")</f>
        <v/>
      </c>
      <c r="N11" s="6">
        <f>TRIM(H11)</f>
        <v/>
      </c>
      <c r="O11" s="6">
        <f>IF(I11="",설정!$B$2-J11,I11-J11)</f>
        <v/>
      </c>
      <c r="P11" s="6">
        <f>IF(O11&gt;14,IF(N11="처리중","기한초과","지연처리"),"")</f>
        <v/>
      </c>
    </row>
    <row r="12">
      <c r="A12" s="6" t="inlineStr">
        <is>
          <t>2026-0010</t>
        </is>
      </c>
      <c r="B12" s="6" t="inlineStr">
        <is>
          <t>2026.10.01</t>
        </is>
      </c>
      <c r="C12" s="6" t="inlineStr">
        <is>
          <t>신준서</t>
        </is>
      </c>
      <c r="D12" s="6" t="inlineStr">
        <is>
          <t>01097742558</t>
        </is>
      </c>
      <c r="E12" s="6" t="inlineStr">
        <is>
          <t>대구광역시 중구 칠성동 958-5</t>
        </is>
      </c>
      <c r="F12" s="6" t="inlineStr">
        <is>
          <t>교통행정과</t>
        </is>
      </c>
      <c r="G12" s="6" t="inlineStr">
        <is>
          <t>불법주정차 신고</t>
        </is>
      </c>
      <c r="H12" s="6" t="inlineStr">
        <is>
          <t>완료</t>
        </is>
      </c>
      <c r="I12" s="7" t="n">
        <v>46316</v>
      </c>
      <c r="J12" s="7">
        <f>IF(ISNUMBER(B12),B12,DATE(VALUE(LEFT(B12,4)),VALUE(MID(B12,6,2)),VALUE(RIGHT(B12,2))))</f>
        <v/>
      </c>
      <c r="K12" s="6">
        <f>LEFT(SUBSTITUTE(SUBSTITUTE(D12,"-","")," ",""),3)&amp;"-"&amp;MID(SUBSTITUTE(SUBSTITUTE(D12,"-","")," ",""),4,4)&amp;"-"&amp;RIGHT(SUBSTITUTE(SUBSTITUTE(D12,"-","")," ",""),4)</f>
        <v/>
      </c>
      <c r="L12" s="6">
        <f>TRIM(MID(SUBSTITUTE(TRIM(E12)," ",REPT(" ",50)),51,50))</f>
        <v/>
      </c>
      <c r="M12" s="6">
        <f>SUBSTITUTE(F12," ","")</f>
        <v/>
      </c>
      <c r="N12" s="6">
        <f>TRIM(H12)</f>
        <v/>
      </c>
      <c r="O12" s="6">
        <f>IF(I12="",설정!$B$2-J12,I12-J12)</f>
        <v/>
      </c>
      <c r="P12" s="6">
        <f>IF(O12&gt;14,IF(N12="처리중","기한초과","지연처리"),"")</f>
        <v/>
      </c>
    </row>
    <row r="13">
      <c r="A13" s="6" t="inlineStr">
        <is>
          <t>2026-0011</t>
        </is>
      </c>
      <c r="B13" s="7" t="n">
        <v>46299</v>
      </c>
      <c r="C13" s="6" t="inlineStr">
        <is>
          <t>임시우</t>
        </is>
      </c>
      <c r="D13" s="6" t="inlineStr">
        <is>
          <t>01039856055</t>
        </is>
      </c>
      <c r="E13" s="6" t="inlineStr">
        <is>
          <t>대구광역시 북구 내당동 957-25</t>
        </is>
      </c>
      <c r="F13" s="6" t="inlineStr">
        <is>
          <t>환경 위생과</t>
        </is>
      </c>
      <c r="G13" s="6" t="inlineStr">
        <is>
          <t>악취 발생 민원</t>
        </is>
      </c>
      <c r="H13" s="6" t="inlineStr">
        <is>
          <t>완료</t>
        </is>
      </c>
      <c r="I13" s="7" t="n">
        <v>46303</v>
      </c>
      <c r="J13" s="7">
        <f>IF(ISNUMBER(B13),B13,DATE(VALUE(LEFT(B13,4)),VALUE(MID(B13,6,2)),VALUE(RIGHT(B13,2))))</f>
        <v/>
      </c>
      <c r="K13" s="6">
        <f>LEFT(SUBSTITUTE(SUBSTITUTE(D13,"-","")," ",""),3)&amp;"-"&amp;MID(SUBSTITUTE(SUBSTITUTE(D13,"-","")," ",""),4,4)&amp;"-"&amp;RIGHT(SUBSTITUTE(SUBSTITUTE(D13,"-","")," ",""),4)</f>
        <v/>
      </c>
      <c r="L13" s="6">
        <f>TRIM(MID(SUBSTITUTE(TRIM(E13)," ",REPT(" ",50)),51,50))</f>
        <v/>
      </c>
      <c r="M13" s="6">
        <f>SUBSTITUTE(F13," ","")</f>
        <v/>
      </c>
      <c r="N13" s="6">
        <f>TRIM(H13)</f>
        <v/>
      </c>
      <c r="O13" s="6">
        <f>IF(I13="",설정!$B$2-J13,I13-J13)</f>
        <v/>
      </c>
      <c r="P13" s="6">
        <f>IF(O13&gt;14,IF(N13="처리중","기한초과","지연처리"),"")</f>
        <v/>
      </c>
    </row>
    <row r="14">
      <c r="A14" s="6" t="inlineStr">
        <is>
          <t>2026-0012</t>
        </is>
      </c>
      <c r="B14" s="7" t="n">
        <v>46273</v>
      </c>
      <c r="C14" s="6" t="inlineStr">
        <is>
          <t>박소율</t>
        </is>
      </c>
      <c r="D14" s="6" t="inlineStr">
        <is>
          <t>01052915476</t>
        </is>
      </c>
      <c r="E14" s="6" t="inlineStr">
        <is>
          <t>대구광역시 동구 동성로 445-20</t>
        </is>
      </c>
      <c r="F14" s="6" t="inlineStr">
        <is>
          <t>건축과</t>
        </is>
      </c>
      <c r="G14" s="6" t="inlineStr">
        <is>
          <t>건축허가 처리 문의</t>
        </is>
      </c>
      <c r="H14" s="6" t="inlineStr">
        <is>
          <t>이관</t>
        </is>
      </c>
      <c r="I14" s="7" t="n">
        <v>46292</v>
      </c>
      <c r="J14" s="7">
        <f>IF(ISNUMBER(B14),B14,DATE(VALUE(LEFT(B14,4)),VALUE(MID(B14,6,2)),VALUE(RIGHT(B14,2))))</f>
        <v/>
      </c>
      <c r="K14" s="6">
        <f>LEFT(SUBSTITUTE(SUBSTITUTE(D14,"-","")," ",""),3)&amp;"-"&amp;MID(SUBSTITUTE(SUBSTITUTE(D14,"-","")," ",""),4,4)&amp;"-"&amp;RIGHT(SUBSTITUTE(SUBSTITUTE(D14,"-","")," ",""),4)</f>
        <v/>
      </c>
      <c r="L14" s="6">
        <f>TRIM(MID(SUBSTITUTE(TRIM(E14)," ",REPT(" ",50)),51,50))</f>
        <v/>
      </c>
      <c r="M14" s="6">
        <f>SUBSTITUTE(F14," ","")</f>
        <v/>
      </c>
      <c r="N14" s="6">
        <f>TRIM(H14)</f>
        <v/>
      </c>
      <c r="O14" s="6">
        <f>IF(I14="",설정!$B$2-J14,I14-J14)</f>
        <v/>
      </c>
      <c r="P14" s="6">
        <f>IF(O14&gt;14,IF(N14="처리중","기한초과","지연처리"),"")</f>
        <v/>
      </c>
    </row>
    <row r="15">
      <c r="A15" s="6" t="inlineStr">
        <is>
          <t>2026-0014</t>
        </is>
      </c>
      <c r="B15" s="7" t="n">
        <v>46276</v>
      </c>
      <c r="C15" s="6" t="inlineStr">
        <is>
          <t>신서윤</t>
        </is>
      </c>
      <c r="D15" s="6" t="inlineStr">
        <is>
          <t>010-8709-0084</t>
        </is>
      </c>
      <c r="E15" s="6" t="inlineStr">
        <is>
          <t>대구광역시 수성구 대명동 313-6</t>
        </is>
      </c>
      <c r="F15" s="6" t="inlineStr">
        <is>
          <t xml:space="preserve">민원봉사과 </t>
        </is>
      </c>
      <c r="G15" s="6" t="inlineStr">
        <is>
          <t>민원실 이용 불편 건의</t>
        </is>
      </c>
      <c r="H15" s="6" t="inlineStr">
        <is>
          <t>처리중</t>
        </is>
      </c>
      <c r="I15" s="7" t="n"/>
      <c r="J15" s="7">
        <f>IF(ISNUMBER(B15),B15,DATE(VALUE(LEFT(B15,4)),VALUE(MID(B15,6,2)),VALUE(RIGHT(B15,2))))</f>
        <v/>
      </c>
      <c r="K15" s="6">
        <f>LEFT(SUBSTITUTE(SUBSTITUTE(D15,"-","")," ",""),3)&amp;"-"&amp;MID(SUBSTITUTE(SUBSTITUTE(D15,"-","")," ",""),4,4)&amp;"-"&amp;RIGHT(SUBSTITUTE(SUBSTITUTE(D15,"-","")," ",""),4)</f>
        <v/>
      </c>
      <c r="L15" s="6">
        <f>TRIM(MID(SUBSTITUTE(TRIM(E15)," ",REPT(" ",50)),51,50))</f>
        <v/>
      </c>
      <c r="M15" s="6">
        <f>SUBSTITUTE(F15," ","")</f>
        <v/>
      </c>
      <c r="N15" s="6">
        <f>TRIM(H15)</f>
        <v/>
      </c>
      <c r="O15" s="6">
        <f>IF(I15="",설정!$B$2-J15,I15-J15)</f>
        <v/>
      </c>
      <c r="P15" s="6">
        <f>IF(O15&gt;14,IF(N15="처리중","기한초과","지연처리"),"")</f>
        <v/>
      </c>
    </row>
    <row r="16">
      <c r="A16" s="6" t="inlineStr">
        <is>
          <t>2026-0013</t>
        </is>
      </c>
      <c r="B16" s="7" t="n">
        <v>46268</v>
      </c>
      <c r="C16" s="6" t="inlineStr">
        <is>
          <t>조가영</t>
        </is>
      </c>
      <c r="D16" s="6" t="inlineStr">
        <is>
          <t>010-3646-7611</t>
        </is>
      </c>
      <c r="E16" s="6" t="inlineStr">
        <is>
          <t>대구광역시 서구 동성로 496-23</t>
        </is>
      </c>
      <c r="F16" s="6" t="inlineStr">
        <is>
          <t>환경 위생과</t>
        </is>
      </c>
      <c r="G16" s="6" t="inlineStr">
        <is>
          <t>생활쓰레기 무단투기 민원</t>
        </is>
      </c>
      <c r="H16" s="6" t="inlineStr">
        <is>
          <t>처리중</t>
        </is>
      </c>
      <c r="I16" s="7" t="n"/>
      <c r="J16" s="7">
        <f>IF(ISNUMBER(B16),B16,DATE(VALUE(LEFT(B16,4)),VALUE(MID(B16,6,2)),VALUE(RIGHT(B16,2))))</f>
        <v/>
      </c>
      <c r="K16" s="6">
        <f>LEFT(SUBSTITUTE(SUBSTITUTE(D16,"-","")," ",""),3)&amp;"-"&amp;MID(SUBSTITUTE(SUBSTITUTE(D16,"-","")," ",""),4,4)&amp;"-"&amp;RIGHT(SUBSTITUTE(SUBSTITUTE(D16,"-","")," ",""),4)</f>
        <v/>
      </c>
      <c r="L16" s="6">
        <f>TRIM(MID(SUBSTITUTE(TRIM(E16)," ",REPT(" ",50)),51,50))</f>
        <v/>
      </c>
      <c r="M16" s="6">
        <f>SUBSTITUTE(F16," ","")</f>
        <v/>
      </c>
      <c r="N16" s="6">
        <f>TRIM(H16)</f>
        <v/>
      </c>
      <c r="O16" s="6">
        <f>IF(I16="",설정!$B$2-J16,I16-J16)</f>
        <v/>
      </c>
      <c r="P16" s="6">
        <f>IF(O16&gt;14,IF(N16="처리중","기한초과","지연처리"),"")</f>
        <v/>
      </c>
    </row>
    <row r="17">
      <c r="A17" s="6" t="inlineStr">
        <is>
          <t>2026-0014</t>
        </is>
      </c>
      <c r="B17" s="7" t="n">
        <v>46276</v>
      </c>
      <c r="C17" s="6" t="inlineStr">
        <is>
          <t>신서윤</t>
        </is>
      </c>
      <c r="D17" s="6" t="inlineStr">
        <is>
          <t>010-8709-0084</t>
        </is>
      </c>
      <c r="E17" s="6" t="inlineStr">
        <is>
          <t>대구광역시 수성구 대명동 313-6</t>
        </is>
      </c>
      <c r="F17" s="6" t="inlineStr">
        <is>
          <t xml:space="preserve">민원봉사과 </t>
        </is>
      </c>
      <c r="G17" s="6" t="inlineStr">
        <is>
          <t>민원실 이용 불편 건의</t>
        </is>
      </c>
      <c r="H17" s="6" t="inlineStr">
        <is>
          <t>처리중</t>
        </is>
      </c>
      <c r="I17" s="7" t="n"/>
      <c r="J17" s="7">
        <f>IF(ISNUMBER(B17),B17,DATE(VALUE(LEFT(B17,4)),VALUE(MID(B17,6,2)),VALUE(RIGHT(B17,2))))</f>
        <v/>
      </c>
      <c r="K17" s="6">
        <f>LEFT(SUBSTITUTE(SUBSTITUTE(D17,"-","")," ",""),3)&amp;"-"&amp;MID(SUBSTITUTE(SUBSTITUTE(D17,"-","")," ",""),4,4)&amp;"-"&amp;RIGHT(SUBSTITUTE(SUBSTITUTE(D17,"-","")," ",""),4)</f>
        <v/>
      </c>
      <c r="L17" s="6">
        <f>TRIM(MID(SUBSTITUTE(TRIM(E17)," ",REPT(" ",50)),51,50))</f>
        <v/>
      </c>
      <c r="M17" s="6">
        <f>SUBSTITUTE(F17," ","")</f>
        <v/>
      </c>
      <c r="N17" s="6">
        <f>TRIM(H17)</f>
        <v/>
      </c>
      <c r="O17" s="6">
        <f>IF(I17="",설정!$B$2-J17,I17-J17)</f>
        <v/>
      </c>
      <c r="P17" s="6">
        <f>IF(O17&gt;14,IF(N17="처리중","기한초과","지연처리"),"")</f>
        <v/>
      </c>
    </row>
    <row r="18">
      <c r="A18" s="6" t="inlineStr">
        <is>
          <t>2026-0015</t>
        </is>
      </c>
      <c r="B18" s="7" t="n">
        <v>46277</v>
      </c>
      <c r="C18" s="6" t="inlineStr">
        <is>
          <t>강민준</t>
        </is>
      </c>
      <c r="D18" s="6" t="inlineStr">
        <is>
          <t>010 6675 3198</t>
        </is>
      </c>
      <c r="E18" s="6" t="inlineStr">
        <is>
          <t>대구광역시 달서구 동성로 6-3</t>
        </is>
      </c>
      <c r="F18" s="6" t="inlineStr">
        <is>
          <t>복지정책과</t>
        </is>
      </c>
      <c r="G18" s="6" t="inlineStr">
        <is>
          <t>노인돌봄서비스 신청 문의</t>
        </is>
      </c>
      <c r="H18" s="6" t="inlineStr">
        <is>
          <t>완료</t>
        </is>
      </c>
      <c r="I18" s="7" t="n">
        <v>46292</v>
      </c>
      <c r="J18" s="7">
        <f>IF(ISNUMBER(B18),B18,DATE(VALUE(LEFT(B18,4)),VALUE(MID(B18,6,2)),VALUE(RIGHT(B18,2))))</f>
        <v/>
      </c>
      <c r="K18" s="6">
        <f>LEFT(SUBSTITUTE(SUBSTITUTE(D18,"-","")," ",""),3)&amp;"-"&amp;MID(SUBSTITUTE(SUBSTITUTE(D18,"-","")," ",""),4,4)&amp;"-"&amp;RIGHT(SUBSTITUTE(SUBSTITUTE(D18,"-","")," ",""),4)</f>
        <v/>
      </c>
      <c r="L18" s="6">
        <f>TRIM(MID(SUBSTITUTE(TRIM(E18)," ",REPT(" ",50)),51,50))</f>
        <v/>
      </c>
      <c r="M18" s="6">
        <f>SUBSTITUTE(F18," ","")</f>
        <v/>
      </c>
      <c r="N18" s="6">
        <f>TRIM(H18)</f>
        <v/>
      </c>
      <c r="O18" s="6">
        <f>IF(I18="",설정!$B$2-J18,I18-J18)</f>
        <v/>
      </c>
      <c r="P18" s="6">
        <f>IF(O18&gt;14,IF(N18="처리중","기한초과","지연처리"),"")</f>
        <v/>
      </c>
    </row>
    <row r="19">
      <c r="A19" s="6" t="inlineStr">
        <is>
          <t>2026-0016</t>
        </is>
      </c>
      <c r="B19" s="6" t="inlineStr">
        <is>
          <t>2026.09.11</t>
        </is>
      </c>
      <c r="C19" s="6" t="inlineStr">
        <is>
          <t>장보라</t>
        </is>
      </c>
      <c r="D19" s="6" t="inlineStr">
        <is>
          <t>01059063835</t>
        </is>
      </c>
      <c r="E19" s="6" t="inlineStr">
        <is>
          <t>대구광역시 서구 신암동 570-25</t>
        </is>
      </c>
      <c r="F19" s="6" t="inlineStr">
        <is>
          <t xml:space="preserve">복지정책과 </t>
        </is>
      </c>
      <c r="G19" s="6" t="inlineStr">
        <is>
          <t>기초생활수급 상담</t>
        </is>
      </c>
      <c r="H19" s="6" t="inlineStr">
        <is>
          <t>완료</t>
        </is>
      </c>
      <c r="I19" s="7" t="n">
        <v>46295</v>
      </c>
      <c r="J19" s="7">
        <f>IF(ISNUMBER(B19),B19,DATE(VALUE(LEFT(B19,4)),VALUE(MID(B19,6,2)),VALUE(RIGHT(B19,2))))</f>
        <v/>
      </c>
      <c r="K19" s="6">
        <f>LEFT(SUBSTITUTE(SUBSTITUTE(D19,"-","")," ",""),3)&amp;"-"&amp;MID(SUBSTITUTE(SUBSTITUTE(D19,"-","")," ",""),4,4)&amp;"-"&amp;RIGHT(SUBSTITUTE(SUBSTITUTE(D19,"-","")," ",""),4)</f>
        <v/>
      </c>
      <c r="L19" s="6">
        <f>TRIM(MID(SUBSTITUTE(TRIM(E19)," ",REPT(" ",50)),51,50))</f>
        <v/>
      </c>
      <c r="M19" s="6">
        <f>SUBSTITUTE(F19," ","")</f>
        <v/>
      </c>
      <c r="N19" s="6">
        <f>TRIM(H19)</f>
        <v/>
      </c>
      <c r="O19" s="6">
        <f>IF(I19="",설정!$B$2-J19,I19-J19)</f>
        <v/>
      </c>
      <c r="P19" s="6">
        <f>IF(O19&gt;14,IF(N19="처리중","기한초과","지연처리"),"")</f>
        <v/>
      </c>
    </row>
    <row r="20">
      <c r="A20" s="6" t="inlineStr">
        <is>
          <t>2026-0017</t>
        </is>
      </c>
      <c r="B20" s="7" t="n">
        <v>46272</v>
      </c>
      <c r="C20" s="6" t="inlineStr">
        <is>
          <t>박서윤</t>
        </is>
      </c>
      <c r="D20" s="6" t="inlineStr">
        <is>
          <t>010-3811-0255</t>
        </is>
      </c>
      <c r="E20" s="6" t="inlineStr">
        <is>
          <t xml:space="preserve">  대구광역시  서구 칠성동 662-21</t>
        </is>
      </c>
      <c r="F20" s="6" t="inlineStr">
        <is>
          <t>복지정책과</t>
        </is>
      </c>
      <c r="G20" s="6" t="inlineStr">
        <is>
          <t>노인돌봄서비스 신청 문의</t>
        </is>
      </c>
      <c r="H20" s="6" t="inlineStr">
        <is>
          <t>완료</t>
        </is>
      </c>
      <c r="I20" s="7" t="n">
        <v>46286</v>
      </c>
      <c r="J20" s="7">
        <f>IF(ISNUMBER(B20),B20,DATE(VALUE(LEFT(B20,4)),VALUE(MID(B20,6,2)),VALUE(RIGHT(B20,2))))</f>
        <v/>
      </c>
      <c r="K20" s="6">
        <f>LEFT(SUBSTITUTE(SUBSTITUTE(D20,"-","")," ",""),3)&amp;"-"&amp;MID(SUBSTITUTE(SUBSTITUTE(D20,"-","")," ",""),4,4)&amp;"-"&amp;RIGHT(SUBSTITUTE(SUBSTITUTE(D20,"-","")," ",""),4)</f>
        <v/>
      </c>
      <c r="L20" s="6">
        <f>TRIM(MID(SUBSTITUTE(TRIM(E20)," ",REPT(" ",50)),51,50))</f>
        <v/>
      </c>
      <c r="M20" s="6">
        <f>SUBSTITUTE(F20," ","")</f>
        <v/>
      </c>
      <c r="N20" s="6">
        <f>TRIM(H20)</f>
        <v/>
      </c>
      <c r="O20" s="6">
        <f>IF(I20="",설정!$B$2-J20,I20-J20)</f>
        <v/>
      </c>
      <c r="P20" s="6">
        <f>IF(O20&gt;14,IF(N20="처리중","기한초과","지연처리"),"")</f>
        <v/>
      </c>
    </row>
    <row r="21">
      <c r="A21" s="6" t="inlineStr">
        <is>
          <t>2026-0033</t>
        </is>
      </c>
      <c r="B21" s="7" t="n">
        <v>46292</v>
      </c>
      <c r="C21" s="6" t="inlineStr">
        <is>
          <t>장지우</t>
        </is>
      </c>
      <c r="D21" s="6" t="inlineStr">
        <is>
          <t>010-4712-4039</t>
        </is>
      </c>
      <c r="E21" s="6" t="inlineStr">
        <is>
          <t>대구광역시 북구 상인동 328-9</t>
        </is>
      </c>
      <c r="F21" s="6" t="inlineStr">
        <is>
          <t>교통행정과</t>
        </is>
      </c>
      <c r="G21" s="6" t="inlineStr">
        <is>
          <t>버스노선 조정 건의</t>
        </is>
      </c>
      <c r="H21" s="6" t="inlineStr">
        <is>
          <t>완료</t>
        </is>
      </c>
      <c r="I21" s="7" t="n">
        <v>46297</v>
      </c>
      <c r="J21" s="7">
        <f>IF(ISNUMBER(B21),B21,DATE(VALUE(LEFT(B21,4)),VALUE(MID(B21,6,2)),VALUE(RIGHT(B21,2))))</f>
        <v/>
      </c>
      <c r="K21" s="6">
        <f>LEFT(SUBSTITUTE(SUBSTITUTE(D21,"-","")," ",""),3)&amp;"-"&amp;MID(SUBSTITUTE(SUBSTITUTE(D21,"-","")," ",""),4,4)&amp;"-"&amp;RIGHT(SUBSTITUTE(SUBSTITUTE(D21,"-","")," ",""),4)</f>
        <v/>
      </c>
      <c r="L21" s="6">
        <f>TRIM(MID(SUBSTITUTE(TRIM(E21)," ",REPT(" ",50)),51,50))</f>
        <v/>
      </c>
      <c r="M21" s="6">
        <f>SUBSTITUTE(F21," ","")</f>
        <v/>
      </c>
      <c r="N21" s="6">
        <f>TRIM(H21)</f>
        <v/>
      </c>
      <c r="O21" s="6">
        <f>IF(I21="",설정!$B$2-J21,I21-J21)</f>
        <v/>
      </c>
      <c r="P21" s="6">
        <f>IF(O21&gt;14,IF(N21="처리중","기한초과","지연처리"),"")</f>
        <v/>
      </c>
    </row>
    <row r="22">
      <c r="A22" s="6" t="inlineStr">
        <is>
          <t>2026-0018</t>
        </is>
      </c>
      <c r="B22" s="7" t="n">
        <v>46276</v>
      </c>
      <c r="C22" s="6" t="inlineStr">
        <is>
          <t>류세아</t>
        </is>
      </c>
      <c r="D22" s="6" t="inlineStr">
        <is>
          <t>010-6449-9597</t>
        </is>
      </c>
      <c r="E22" s="6" t="inlineStr">
        <is>
          <t xml:space="preserve">  대구광역시  수성구 범어동 99-8</t>
        </is>
      </c>
      <c r="F22" s="6" t="inlineStr">
        <is>
          <t>복지 정책과</t>
        </is>
      </c>
      <c r="G22" s="6" t="inlineStr">
        <is>
          <t>노인돌봄서비스 신청 문의</t>
        </is>
      </c>
      <c r="H22" s="6" t="inlineStr">
        <is>
          <t>완료</t>
        </is>
      </c>
      <c r="I22" s="7" t="n">
        <v>46277</v>
      </c>
      <c r="J22" s="7">
        <f>IF(ISNUMBER(B22),B22,DATE(VALUE(LEFT(B22,4)),VALUE(MID(B22,6,2)),VALUE(RIGHT(B22,2))))</f>
        <v/>
      </c>
      <c r="K22" s="6">
        <f>LEFT(SUBSTITUTE(SUBSTITUTE(D22,"-","")," ",""),3)&amp;"-"&amp;MID(SUBSTITUTE(SUBSTITUTE(D22,"-","")," ",""),4,4)&amp;"-"&amp;RIGHT(SUBSTITUTE(SUBSTITUTE(D22,"-","")," ",""),4)</f>
        <v/>
      </c>
      <c r="L22" s="6">
        <f>TRIM(MID(SUBSTITUTE(TRIM(E22)," ",REPT(" ",50)),51,50))</f>
        <v/>
      </c>
      <c r="M22" s="6">
        <f>SUBSTITUTE(F22," ","")</f>
        <v/>
      </c>
      <c r="N22" s="6">
        <f>TRIM(H22)</f>
        <v/>
      </c>
      <c r="O22" s="6">
        <f>IF(I22="",설정!$B$2-J22,I22-J22)</f>
        <v/>
      </c>
      <c r="P22" s="6">
        <f>IF(O22&gt;14,IF(N22="처리중","기한초과","지연처리"),"")</f>
        <v/>
      </c>
    </row>
    <row r="23">
      <c r="A23" s="6" t="inlineStr">
        <is>
          <t>2026-0019</t>
        </is>
      </c>
      <c r="B23" s="6" t="inlineStr">
        <is>
          <t>2026.09.21</t>
        </is>
      </c>
      <c r="C23" s="6" t="inlineStr">
        <is>
          <t>오미래</t>
        </is>
      </c>
      <c r="D23" s="6" t="inlineStr">
        <is>
          <t>010 3510 1730</t>
        </is>
      </c>
      <c r="E23" s="6" t="inlineStr">
        <is>
          <t>대구광역시 북구 만촌동 221-20</t>
        </is>
      </c>
      <c r="F23" s="6" t="inlineStr">
        <is>
          <t>건축과</t>
        </is>
      </c>
      <c r="G23" s="6" t="inlineStr">
        <is>
          <t>건축허가 처리 문의</t>
        </is>
      </c>
      <c r="H23" s="6" t="inlineStr">
        <is>
          <t>처리중</t>
        </is>
      </c>
      <c r="I23" s="7" t="n"/>
      <c r="J23" s="7">
        <f>IF(ISNUMBER(B23),B23,DATE(VALUE(LEFT(B23,4)),VALUE(MID(B23,6,2)),VALUE(RIGHT(B23,2))))</f>
        <v/>
      </c>
      <c r="K23" s="6">
        <f>LEFT(SUBSTITUTE(SUBSTITUTE(D23,"-","")," ",""),3)&amp;"-"&amp;MID(SUBSTITUTE(SUBSTITUTE(D23,"-","")," ",""),4,4)&amp;"-"&amp;RIGHT(SUBSTITUTE(SUBSTITUTE(D23,"-","")," ",""),4)</f>
        <v/>
      </c>
      <c r="L23" s="6">
        <f>TRIM(MID(SUBSTITUTE(TRIM(E23)," ",REPT(" ",50)),51,50))</f>
        <v/>
      </c>
      <c r="M23" s="6">
        <f>SUBSTITUTE(F23," ","")</f>
        <v/>
      </c>
      <c r="N23" s="6">
        <f>TRIM(H23)</f>
        <v/>
      </c>
      <c r="O23" s="6">
        <f>IF(I23="",설정!$B$2-J23,I23-J23)</f>
        <v/>
      </c>
      <c r="P23" s="6">
        <f>IF(O23&gt;14,IF(N23="처리중","기한초과","지연처리"),"")</f>
        <v/>
      </c>
    </row>
    <row r="24">
      <c r="A24" s="6" t="inlineStr">
        <is>
          <t>2026-0020</t>
        </is>
      </c>
      <c r="B24" s="7" t="n">
        <v>46290</v>
      </c>
      <c r="C24" s="6" t="inlineStr">
        <is>
          <t>신건우</t>
        </is>
      </c>
      <c r="D24" s="6" t="inlineStr">
        <is>
          <t>010 8861 8432</t>
        </is>
      </c>
      <c r="E24" s="6" t="inlineStr">
        <is>
          <t>대구광역시 북구 내당동 297-24</t>
        </is>
      </c>
      <c r="F24" s="6" t="inlineStr">
        <is>
          <t>복지정책과</t>
        </is>
      </c>
      <c r="G24" s="6" t="inlineStr">
        <is>
          <t>기초생활수급 상담</t>
        </is>
      </c>
      <c r="H24" s="6" t="inlineStr">
        <is>
          <t>이관</t>
        </is>
      </c>
      <c r="I24" s="7" t="n">
        <v>46302</v>
      </c>
      <c r="J24" s="7">
        <f>IF(ISNUMBER(B24),B24,DATE(VALUE(LEFT(B24,4)),VALUE(MID(B24,6,2)),VALUE(RIGHT(B24,2))))</f>
        <v/>
      </c>
      <c r="K24" s="6">
        <f>LEFT(SUBSTITUTE(SUBSTITUTE(D24,"-","")," ",""),3)&amp;"-"&amp;MID(SUBSTITUTE(SUBSTITUTE(D24,"-","")," ",""),4,4)&amp;"-"&amp;RIGHT(SUBSTITUTE(SUBSTITUTE(D24,"-","")," ",""),4)</f>
        <v/>
      </c>
      <c r="L24" s="6">
        <f>TRIM(MID(SUBSTITUTE(TRIM(E24)," ",REPT(" ",50)),51,50))</f>
        <v/>
      </c>
      <c r="M24" s="6">
        <f>SUBSTITUTE(F24," ","")</f>
        <v/>
      </c>
      <c r="N24" s="6">
        <f>TRIM(H24)</f>
        <v/>
      </c>
      <c r="O24" s="6">
        <f>IF(I24="",설정!$B$2-J24,I24-J24)</f>
        <v/>
      </c>
      <c r="P24" s="6">
        <f>IF(O24&gt;14,IF(N24="처리중","기한초과","지연처리"),"")</f>
        <v/>
      </c>
    </row>
    <row r="25">
      <c r="A25" s="6" t="inlineStr">
        <is>
          <t>2026-0021</t>
        </is>
      </c>
      <c r="B25" s="6" t="inlineStr">
        <is>
          <t>2026.10.05</t>
        </is>
      </c>
      <c r="C25" s="6" t="inlineStr">
        <is>
          <t>신태민</t>
        </is>
      </c>
      <c r="D25" s="6" t="inlineStr">
        <is>
          <t>01045112594</t>
        </is>
      </c>
      <c r="E25" s="6" t="inlineStr">
        <is>
          <t>대구광역시 수성구 상인동 39-5</t>
        </is>
      </c>
      <c r="F25" s="6" t="inlineStr">
        <is>
          <t>복지정책과</t>
        </is>
      </c>
      <c r="G25" s="6" t="inlineStr">
        <is>
          <t>기초생활수급 상담</t>
        </is>
      </c>
      <c r="H25" s="6" t="inlineStr">
        <is>
          <t>완료</t>
        </is>
      </c>
      <c r="I25" s="7" t="n">
        <v>46302</v>
      </c>
      <c r="J25" s="7">
        <f>IF(ISNUMBER(B25),B25,DATE(VALUE(LEFT(B25,4)),VALUE(MID(B25,6,2)),VALUE(RIGHT(B25,2))))</f>
        <v/>
      </c>
      <c r="K25" s="6">
        <f>LEFT(SUBSTITUTE(SUBSTITUTE(D25,"-","")," ",""),3)&amp;"-"&amp;MID(SUBSTITUTE(SUBSTITUTE(D25,"-","")," ",""),4,4)&amp;"-"&amp;RIGHT(SUBSTITUTE(SUBSTITUTE(D25,"-","")," ",""),4)</f>
        <v/>
      </c>
      <c r="L25" s="6">
        <f>TRIM(MID(SUBSTITUTE(TRIM(E25)," ",REPT(" ",50)),51,50))</f>
        <v/>
      </c>
      <c r="M25" s="6">
        <f>SUBSTITUTE(F25," ","")</f>
        <v/>
      </c>
      <c r="N25" s="6">
        <f>TRIM(H25)</f>
        <v/>
      </c>
      <c r="O25" s="6">
        <f>IF(I25="",설정!$B$2-J25,I25-J25)</f>
        <v/>
      </c>
      <c r="P25" s="6">
        <f>IF(O25&gt;14,IF(N25="처리중","기한초과","지연처리"),"")</f>
        <v/>
      </c>
    </row>
    <row r="26">
      <c r="A26" s="6" t="inlineStr">
        <is>
          <t>2026-0055</t>
        </is>
      </c>
      <c r="B26" s="7" t="n">
        <v>46303</v>
      </c>
      <c r="C26" s="6" t="inlineStr">
        <is>
          <t>오도윤</t>
        </is>
      </c>
      <c r="D26" s="6" t="inlineStr">
        <is>
          <t>010 4490 6099</t>
        </is>
      </c>
      <c r="E26" s="6" t="inlineStr">
        <is>
          <t xml:space="preserve">  대구광역시  중구 대명동 6-8</t>
        </is>
      </c>
      <c r="F26" s="6" t="inlineStr">
        <is>
          <t xml:space="preserve">도로과 </t>
        </is>
      </c>
      <c r="G26" s="6" t="inlineStr">
        <is>
          <t>가로등 고장 신고</t>
        </is>
      </c>
      <c r="H26" s="6" t="inlineStr">
        <is>
          <t>완료</t>
        </is>
      </c>
      <c r="I26" s="7" t="n">
        <v>46318</v>
      </c>
      <c r="J26" s="7">
        <f>IF(ISNUMBER(B26),B26,DATE(VALUE(LEFT(B26,4)),VALUE(MID(B26,6,2)),VALUE(RIGHT(B26,2))))</f>
        <v/>
      </c>
      <c r="K26" s="6">
        <f>LEFT(SUBSTITUTE(SUBSTITUTE(D26,"-","")," ",""),3)&amp;"-"&amp;MID(SUBSTITUTE(SUBSTITUTE(D26,"-","")," ",""),4,4)&amp;"-"&amp;RIGHT(SUBSTITUTE(SUBSTITUTE(D26,"-","")," ",""),4)</f>
        <v/>
      </c>
      <c r="L26" s="6">
        <f>TRIM(MID(SUBSTITUTE(TRIM(E26)," ",REPT(" ",50)),51,50))</f>
        <v/>
      </c>
      <c r="M26" s="6">
        <f>SUBSTITUTE(F26," ","")</f>
        <v/>
      </c>
      <c r="N26" s="6">
        <f>TRIM(H26)</f>
        <v/>
      </c>
      <c r="O26" s="6">
        <f>IF(I26="",설정!$B$2-J26,I26-J26)</f>
        <v/>
      </c>
      <c r="P26" s="6">
        <f>IF(O26&gt;14,IF(N26="처리중","기한초과","지연처리"),"")</f>
        <v/>
      </c>
    </row>
    <row r="27">
      <c r="A27" s="6" t="inlineStr">
        <is>
          <t>2026-0022</t>
        </is>
      </c>
      <c r="B27" s="6" t="inlineStr">
        <is>
          <t>2026.09.23</t>
        </is>
      </c>
      <c r="C27" s="6" t="inlineStr">
        <is>
          <t>장가영</t>
        </is>
      </c>
      <c r="D27" s="6" t="inlineStr">
        <is>
          <t>010-5946-9554</t>
        </is>
      </c>
      <c r="E27" s="6" t="inlineStr">
        <is>
          <t>대구광역시 달서구 침산동 30-22</t>
        </is>
      </c>
      <c r="F27" s="6" t="inlineStr">
        <is>
          <t>건축과</t>
        </is>
      </c>
      <c r="G27" s="6" t="inlineStr">
        <is>
          <t>불법 건축물 신고</t>
        </is>
      </c>
      <c r="H27" s="6" t="inlineStr">
        <is>
          <t>완료</t>
        </is>
      </c>
      <c r="I27" s="7" t="n">
        <v>46296</v>
      </c>
      <c r="J27" s="7">
        <f>IF(ISNUMBER(B27),B27,DATE(VALUE(LEFT(B27,4)),VALUE(MID(B27,6,2)),VALUE(RIGHT(B27,2))))</f>
        <v/>
      </c>
      <c r="K27" s="6">
        <f>LEFT(SUBSTITUTE(SUBSTITUTE(D27,"-","")," ",""),3)&amp;"-"&amp;MID(SUBSTITUTE(SUBSTITUTE(D27,"-","")," ",""),4,4)&amp;"-"&amp;RIGHT(SUBSTITUTE(SUBSTITUTE(D27,"-","")," ",""),4)</f>
        <v/>
      </c>
      <c r="L27" s="6">
        <f>TRIM(MID(SUBSTITUTE(TRIM(E27)," ",REPT(" ",50)),51,50))</f>
        <v/>
      </c>
      <c r="M27" s="6">
        <f>SUBSTITUTE(F27," ","")</f>
        <v/>
      </c>
      <c r="N27" s="6">
        <f>TRIM(H27)</f>
        <v/>
      </c>
      <c r="O27" s="6">
        <f>IF(I27="",설정!$B$2-J27,I27-J27)</f>
        <v/>
      </c>
      <c r="P27" s="6">
        <f>IF(O27&gt;14,IF(N27="처리중","기한초과","지연처리"),"")</f>
        <v/>
      </c>
    </row>
    <row r="28">
      <c r="A28" s="6" t="inlineStr">
        <is>
          <t>2026-0023</t>
        </is>
      </c>
      <c r="B28" s="7" t="n">
        <v>46280</v>
      </c>
      <c r="C28" s="6" t="inlineStr">
        <is>
          <t>안동현</t>
        </is>
      </c>
      <c r="D28" s="6" t="inlineStr">
        <is>
          <t>010 6540 8799</t>
        </is>
      </c>
      <c r="E28" s="6" t="inlineStr">
        <is>
          <t xml:space="preserve">  대구광역시  달서구 만촌동 92-27</t>
        </is>
      </c>
      <c r="F28" s="6" t="inlineStr">
        <is>
          <t>도로 과</t>
        </is>
      </c>
      <c r="G28" s="6" t="inlineStr">
        <is>
          <t>가로등 고장 신고</t>
        </is>
      </c>
      <c r="H28" s="6" t="inlineStr">
        <is>
          <t>완료</t>
        </is>
      </c>
      <c r="I28" s="7" t="n">
        <v>46298</v>
      </c>
      <c r="J28" s="7">
        <f>IF(ISNUMBER(B28),B28,DATE(VALUE(LEFT(B28,4)),VALUE(MID(B28,6,2)),VALUE(RIGHT(B28,2))))</f>
        <v/>
      </c>
      <c r="K28" s="6">
        <f>LEFT(SUBSTITUTE(SUBSTITUTE(D28,"-","")," ",""),3)&amp;"-"&amp;MID(SUBSTITUTE(SUBSTITUTE(D28,"-","")," ",""),4,4)&amp;"-"&amp;RIGHT(SUBSTITUTE(SUBSTITUTE(D28,"-","")," ",""),4)</f>
        <v/>
      </c>
      <c r="L28" s="6">
        <f>TRIM(MID(SUBSTITUTE(TRIM(E28)," ",REPT(" ",50)),51,50))</f>
        <v/>
      </c>
      <c r="M28" s="6">
        <f>SUBSTITUTE(F28," ","")</f>
        <v/>
      </c>
      <c r="N28" s="6">
        <f>TRIM(H28)</f>
        <v/>
      </c>
      <c r="O28" s="6">
        <f>IF(I28="",설정!$B$2-J28,I28-J28)</f>
        <v/>
      </c>
      <c r="P28" s="6">
        <f>IF(O28&gt;14,IF(N28="처리중","기한초과","지연처리"),"")</f>
        <v/>
      </c>
    </row>
    <row r="29">
      <c r="A29" s="6" t="inlineStr">
        <is>
          <t>2026-0024</t>
        </is>
      </c>
      <c r="B29" s="7" t="n">
        <v>46287</v>
      </c>
      <c r="C29" s="6" t="inlineStr">
        <is>
          <t>서재현</t>
        </is>
      </c>
      <c r="D29" s="6" t="inlineStr">
        <is>
          <t>010-3153-1334</t>
        </is>
      </c>
      <c r="E29" s="6" t="inlineStr">
        <is>
          <t>대구광역시 달서구 지산동 60-8</t>
        </is>
      </c>
      <c r="F29" s="6" t="inlineStr">
        <is>
          <t>민원봉사과</t>
        </is>
      </c>
      <c r="G29" s="6" t="inlineStr">
        <is>
          <t>민원실 이용 불편 건의</t>
        </is>
      </c>
      <c r="H29" s="6" t="inlineStr">
        <is>
          <t>완료</t>
        </is>
      </c>
      <c r="I29" s="7" t="n">
        <v>46311</v>
      </c>
      <c r="J29" s="7">
        <f>IF(ISNUMBER(B29),B29,DATE(VALUE(LEFT(B29,4)),VALUE(MID(B29,6,2)),VALUE(RIGHT(B29,2))))</f>
        <v/>
      </c>
      <c r="K29" s="6">
        <f>LEFT(SUBSTITUTE(SUBSTITUTE(D29,"-","")," ",""),3)&amp;"-"&amp;MID(SUBSTITUTE(SUBSTITUTE(D29,"-","")," ",""),4,4)&amp;"-"&amp;RIGHT(SUBSTITUTE(SUBSTITUTE(D29,"-","")," ",""),4)</f>
        <v/>
      </c>
      <c r="L29" s="6">
        <f>TRIM(MID(SUBSTITUTE(TRIM(E29)," ",REPT(" ",50)),51,50))</f>
        <v/>
      </c>
      <c r="M29" s="6">
        <f>SUBSTITUTE(F29," ","")</f>
        <v/>
      </c>
      <c r="N29" s="6">
        <f>TRIM(H29)</f>
        <v/>
      </c>
      <c r="O29" s="6">
        <f>IF(I29="",설정!$B$2-J29,I29-J29)</f>
        <v/>
      </c>
      <c r="P29" s="6">
        <f>IF(O29&gt;14,IF(N29="처리중","기한초과","지연처리"),"")</f>
        <v/>
      </c>
    </row>
    <row r="30">
      <c r="A30" s="6" t="inlineStr">
        <is>
          <t>2026-0045</t>
        </is>
      </c>
      <c r="B30" s="7" t="n">
        <v>46300</v>
      </c>
      <c r="C30" s="6" t="inlineStr">
        <is>
          <t>장건우</t>
        </is>
      </c>
      <c r="D30" s="6" t="inlineStr">
        <is>
          <t>01073554102</t>
        </is>
      </c>
      <c r="E30" s="6" t="inlineStr">
        <is>
          <t xml:space="preserve">  대구광역시  동구 범어동 483-1</t>
        </is>
      </c>
      <c r="F30" s="6" t="inlineStr">
        <is>
          <t>도로과</t>
        </is>
      </c>
      <c r="G30" s="6" t="inlineStr">
        <is>
          <t>도로 파손(포트홀) 신고</t>
        </is>
      </c>
      <c r="H30" s="6" t="inlineStr">
        <is>
          <t>완료</t>
        </is>
      </c>
      <c r="I30" s="7" t="n">
        <v>46324</v>
      </c>
      <c r="J30" s="7">
        <f>IF(ISNUMBER(B30),B30,DATE(VALUE(LEFT(B30,4)),VALUE(MID(B30,6,2)),VALUE(RIGHT(B30,2))))</f>
        <v/>
      </c>
      <c r="K30" s="6">
        <f>LEFT(SUBSTITUTE(SUBSTITUTE(D30,"-","")," ",""),3)&amp;"-"&amp;MID(SUBSTITUTE(SUBSTITUTE(D30,"-","")," ",""),4,4)&amp;"-"&amp;RIGHT(SUBSTITUTE(SUBSTITUTE(D30,"-","")," ",""),4)</f>
        <v/>
      </c>
      <c r="L30" s="6">
        <f>TRIM(MID(SUBSTITUTE(TRIM(E30)," ",REPT(" ",50)),51,50))</f>
        <v/>
      </c>
      <c r="M30" s="6">
        <f>SUBSTITUTE(F30," ","")</f>
        <v/>
      </c>
      <c r="N30" s="6">
        <f>TRIM(H30)</f>
        <v/>
      </c>
      <c r="O30" s="6">
        <f>IF(I30="",설정!$B$2-J30,I30-J30)</f>
        <v/>
      </c>
      <c r="P30" s="6">
        <f>IF(O30&gt;14,IF(N30="처리중","기한초과","지연처리"),"")</f>
        <v/>
      </c>
    </row>
    <row r="31">
      <c r="A31" s="6" t="inlineStr">
        <is>
          <t>2026-0025</t>
        </is>
      </c>
      <c r="B31" s="7" t="n">
        <v>46280</v>
      </c>
      <c r="C31" s="6" t="inlineStr">
        <is>
          <t>조수아</t>
        </is>
      </c>
      <c r="D31" s="6" t="inlineStr">
        <is>
          <t>01056974998</t>
        </is>
      </c>
      <c r="E31" s="6" t="inlineStr">
        <is>
          <t>대구광역시 중구 지산동 562-26</t>
        </is>
      </c>
      <c r="F31" s="6" t="inlineStr">
        <is>
          <t>교통행정과</t>
        </is>
      </c>
      <c r="G31" s="6" t="inlineStr">
        <is>
          <t>버스노선 조정 건의</t>
        </is>
      </c>
      <c r="H31" s="6" t="inlineStr">
        <is>
          <t>처리중</t>
        </is>
      </c>
      <c r="I31" s="7" t="n"/>
      <c r="J31" s="7">
        <f>IF(ISNUMBER(B31),B31,DATE(VALUE(LEFT(B31,4)),VALUE(MID(B31,6,2)),VALUE(RIGHT(B31,2))))</f>
        <v/>
      </c>
      <c r="K31" s="6">
        <f>LEFT(SUBSTITUTE(SUBSTITUTE(D31,"-","")," ",""),3)&amp;"-"&amp;MID(SUBSTITUTE(SUBSTITUTE(D31,"-","")," ",""),4,4)&amp;"-"&amp;RIGHT(SUBSTITUTE(SUBSTITUTE(D31,"-","")," ",""),4)</f>
        <v/>
      </c>
      <c r="L31" s="6">
        <f>TRIM(MID(SUBSTITUTE(TRIM(E31)," ",REPT(" ",50)),51,50))</f>
        <v/>
      </c>
      <c r="M31" s="6">
        <f>SUBSTITUTE(F31," ","")</f>
        <v/>
      </c>
      <c r="N31" s="6">
        <f>TRIM(H31)</f>
        <v/>
      </c>
      <c r="O31" s="6">
        <f>IF(I31="",설정!$B$2-J31,I31-J31)</f>
        <v/>
      </c>
      <c r="P31" s="6">
        <f>IF(O31&gt;14,IF(N31="처리중","기한초과","지연처리"),"")</f>
        <v/>
      </c>
    </row>
    <row r="32">
      <c r="A32" s="6" t="inlineStr">
        <is>
          <t>2026-0026</t>
        </is>
      </c>
      <c r="B32" s="6" t="inlineStr">
        <is>
          <t>2026.09.10</t>
        </is>
      </c>
      <c r="C32" s="6" t="inlineStr">
        <is>
          <t>최정훈</t>
        </is>
      </c>
      <c r="D32" s="6" t="inlineStr">
        <is>
          <t>010-8480-4706</t>
        </is>
      </c>
      <c r="E32" s="6" t="inlineStr">
        <is>
          <t>대구광역시 서구 칠성동 87-10</t>
        </is>
      </c>
      <c r="F32" s="6" t="inlineStr">
        <is>
          <t>건축과</t>
        </is>
      </c>
      <c r="G32" s="6" t="inlineStr">
        <is>
          <t>불법 건축물 신고</t>
        </is>
      </c>
      <c r="H32" s="6" t="inlineStr">
        <is>
          <t>처리중</t>
        </is>
      </c>
      <c r="I32" s="7" t="n"/>
      <c r="J32" s="7">
        <f>IF(ISNUMBER(B32),B32,DATE(VALUE(LEFT(B32,4)),VALUE(MID(B32,6,2)),VALUE(RIGHT(B32,2))))</f>
        <v/>
      </c>
      <c r="K32" s="6">
        <f>LEFT(SUBSTITUTE(SUBSTITUTE(D32,"-","")," ",""),3)&amp;"-"&amp;MID(SUBSTITUTE(SUBSTITUTE(D32,"-","")," ",""),4,4)&amp;"-"&amp;RIGHT(SUBSTITUTE(SUBSTITUTE(D32,"-","")," ",""),4)</f>
        <v/>
      </c>
      <c r="L32" s="6">
        <f>TRIM(MID(SUBSTITUTE(TRIM(E32)," ",REPT(" ",50)),51,50))</f>
        <v/>
      </c>
      <c r="M32" s="6">
        <f>SUBSTITUTE(F32," ","")</f>
        <v/>
      </c>
      <c r="N32" s="6">
        <f>TRIM(H32)</f>
        <v/>
      </c>
      <c r="O32" s="6">
        <f>IF(I32="",설정!$B$2-J32,I32-J32)</f>
        <v/>
      </c>
      <c r="P32" s="6">
        <f>IF(O32&gt;14,IF(N32="처리중","기한초과","지연처리"),"")</f>
        <v/>
      </c>
    </row>
    <row r="33">
      <c r="A33" s="6" t="inlineStr">
        <is>
          <t>2026-0027</t>
        </is>
      </c>
      <c r="B33" s="6" t="inlineStr">
        <is>
          <t>2026.10.05</t>
        </is>
      </c>
      <c r="C33" s="6" t="inlineStr">
        <is>
          <t>최도윤</t>
        </is>
      </c>
      <c r="D33" s="6" t="inlineStr">
        <is>
          <t>010-7116-5991</t>
        </is>
      </c>
      <c r="E33" s="6" t="inlineStr">
        <is>
          <t>대구광역시 중구 대명동 552-17</t>
        </is>
      </c>
      <c r="F33" s="6" t="inlineStr">
        <is>
          <t>환경위생과</t>
        </is>
      </c>
      <c r="G33" s="6" t="inlineStr">
        <is>
          <t>생활쓰레기 무단투기 민원</t>
        </is>
      </c>
      <c r="H33" s="6" t="inlineStr">
        <is>
          <t>처리중</t>
        </is>
      </c>
      <c r="I33" s="7" t="n"/>
      <c r="J33" s="7">
        <f>IF(ISNUMBER(B33),B33,DATE(VALUE(LEFT(B33,4)),VALUE(MID(B33,6,2)),VALUE(RIGHT(B33,2))))</f>
        <v/>
      </c>
      <c r="K33" s="6">
        <f>LEFT(SUBSTITUTE(SUBSTITUTE(D33,"-","")," ",""),3)&amp;"-"&amp;MID(SUBSTITUTE(SUBSTITUTE(D33,"-","")," ",""),4,4)&amp;"-"&amp;RIGHT(SUBSTITUTE(SUBSTITUTE(D33,"-","")," ",""),4)</f>
        <v/>
      </c>
      <c r="L33" s="6">
        <f>TRIM(MID(SUBSTITUTE(TRIM(E33)," ",REPT(" ",50)),51,50))</f>
        <v/>
      </c>
      <c r="M33" s="6">
        <f>SUBSTITUTE(F33," ","")</f>
        <v/>
      </c>
      <c r="N33" s="6">
        <f>TRIM(H33)</f>
        <v/>
      </c>
      <c r="O33" s="6">
        <f>IF(I33="",설정!$B$2-J33,I33-J33)</f>
        <v/>
      </c>
      <c r="P33" s="6">
        <f>IF(O33&gt;14,IF(N33="처리중","기한초과","지연처리"),"")</f>
        <v/>
      </c>
    </row>
    <row r="34">
      <c r="A34" s="6" t="inlineStr">
        <is>
          <t>2026-0028</t>
        </is>
      </c>
      <c r="B34" s="7" t="n">
        <v>46312</v>
      </c>
      <c r="C34" s="6" t="inlineStr">
        <is>
          <t>김미래</t>
        </is>
      </c>
      <c r="D34" s="6" t="inlineStr">
        <is>
          <t>01055471405</t>
        </is>
      </c>
      <c r="E34" s="6" t="inlineStr">
        <is>
          <t>대구광역시 북구 신암동 555-10</t>
        </is>
      </c>
      <c r="F34" s="6" t="inlineStr">
        <is>
          <t>건축과</t>
        </is>
      </c>
      <c r="G34" s="6" t="inlineStr">
        <is>
          <t>건축허가 처리 문의</t>
        </is>
      </c>
      <c r="H34" s="6" t="inlineStr">
        <is>
          <t>완료</t>
        </is>
      </c>
      <c r="I34" s="7" t="n">
        <v>46321</v>
      </c>
      <c r="J34" s="7">
        <f>IF(ISNUMBER(B34),B34,DATE(VALUE(LEFT(B34,4)),VALUE(MID(B34,6,2)),VALUE(RIGHT(B34,2))))</f>
        <v/>
      </c>
      <c r="K34" s="6">
        <f>LEFT(SUBSTITUTE(SUBSTITUTE(D34,"-","")," ",""),3)&amp;"-"&amp;MID(SUBSTITUTE(SUBSTITUTE(D34,"-","")," ",""),4,4)&amp;"-"&amp;RIGHT(SUBSTITUTE(SUBSTITUTE(D34,"-","")," ",""),4)</f>
        <v/>
      </c>
      <c r="L34" s="6">
        <f>TRIM(MID(SUBSTITUTE(TRIM(E34)," ",REPT(" ",50)),51,50))</f>
        <v/>
      </c>
      <c r="M34" s="6">
        <f>SUBSTITUTE(F34," ","")</f>
        <v/>
      </c>
      <c r="N34" s="6">
        <f>TRIM(H34)</f>
        <v/>
      </c>
      <c r="O34" s="6">
        <f>IF(I34="",설정!$B$2-J34,I34-J34)</f>
        <v/>
      </c>
      <c r="P34" s="6">
        <f>IF(O34&gt;14,IF(N34="처리중","기한초과","지연처리"),"")</f>
        <v/>
      </c>
    </row>
    <row r="35">
      <c r="A35" s="6" t="inlineStr">
        <is>
          <t>2026-0029</t>
        </is>
      </c>
      <c r="B35" s="6" t="inlineStr">
        <is>
          <t>2026.09.28</t>
        </is>
      </c>
      <c r="C35" s="6" t="inlineStr">
        <is>
          <t>김동현</t>
        </is>
      </c>
      <c r="D35" s="6" t="inlineStr">
        <is>
          <t>010-5293-5827</t>
        </is>
      </c>
      <c r="E35" s="6" t="inlineStr">
        <is>
          <t xml:space="preserve">  대구광역시  수성구 칠성동 323-18</t>
        </is>
      </c>
      <c r="F35" s="6" t="inlineStr">
        <is>
          <t>복지 정책과</t>
        </is>
      </c>
      <c r="G35" s="6" t="inlineStr">
        <is>
          <t>노인돌봄서비스 신청 문의</t>
        </is>
      </c>
      <c r="H35" s="6" t="inlineStr">
        <is>
          <t>처리중</t>
        </is>
      </c>
      <c r="I35" s="7" t="n"/>
      <c r="J35" s="7">
        <f>IF(ISNUMBER(B35),B35,DATE(VALUE(LEFT(B35,4)),VALUE(MID(B35,6,2)),VALUE(RIGHT(B35,2))))</f>
        <v/>
      </c>
      <c r="K35" s="6">
        <f>LEFT(SUBSTITUTE(SUBSTITUTE(D35,"-","")," ",""),3)&amp;"-"&amp;MID(SUBSTITUTE(SUBSTITUTE(D35,"-","")," ",""),4,4)&amp;"-"&amp;RIGHT(SUBSTITUTE(SUBSTITUTE(D35,"-","")," ",""),4)</f>
        <v/>
      </c>
      <c r="L35" s="6">
        <f>TRIM(MID(SUBSTITUTE(TRIM(E35)," ",REPT(" ",50)),51,50))</f>
        <v/>
      </c>
      <c r="M35" s="6">
        <f>SUBSTITUTE(F35," ","")</f>
        <v/>
      </c>
      <c r="N35" s="6">
        <f>TRIM(H35)</f>
        <v/>
      </c>
      <c r="O35" s="6">
        <f>IF(I35="",설정!$B$2-J35,I35-J35)</f>
        <v/>
      </c>
      <c r="P35" s="6">
        <f>IF(O35&gt;14,IF(N35="처리중","기한초과","지연처리"),"")</f>
        <v/>
      </c>
    </row>
    <row r="36">
      <c r="A36" s="6" t="inlineStr">
        <is>
          <t>2026-0030</t>
        </is>
      </c>
      <c r="B36" s="7" t="n">
        <v>46270</v>
      </c>
      <c r="C36" s="6" t="inlineStr">
        <is>
          <t>임승현</t>
        </is>
      </c>
      <c r="D36" s="6" t="inlineStr">
        <is>
          <t>01063306810</t>
        </is>
      </c>
      <c r="E36" s="6" t="inlineStr">
        <is>
          <t>대구광역시 북구 지산동 110-28</t>
        </is>
      </c>
      <c r="F36" s="6" t="inlineStr">
        <is>
          <t>복지 정책과</t>
        </is>
      </c>
      <c r="G36" s="6" t="inlineStr">
        <is>
          <t>기초생활수급 상담</t>
        </is>
      </c>
      <c r="H36" s="6" t="inlineStr">
        <is>
          <t>완료</t>
        </is>
      </c>
      <c r="I36" s="7" t="n">
        <v>46288</v>
      </c>
      <c r="J36" s="7">
        <f>IF(ISNUMBER(B36),B36,DATE(VALUE(LEFT(B36,4)),VALUE(MID(B36,6,2)),VALUE(RIGHT(B36,2))))</f>
        <v/>
      </c>
      <c r="K36" s="6">
        <f>LEFT(SUBSTITUTE(SUBSTITUTE(D36,"-","")," ",""),3)&amp;"-"&amp;MID(SUBSTITUTE(SUBSTITUTE(D36,"-","")," ",""),4,4)&amp;"-"&amp;RIGHT(SUBSTITUTE(SUBSTITUTE(D36,"-","")," ",""),4)</f>
        <v/>
      </c>
      <c r="L36" s="6">
        <f>TRIM(MID(SUBSTITUTE(TRIM(E36)," ",REPT(" ",50)),51,50))</f>
        <v/>
      </c>
      <c r="M36" s="6">
        <f>SUBSTITUTE(F36," ","")</f>
        <v/>
      </c>
      <c r="N36" s="6">
        <f>TRIM(H36)</f>
        <v/>
      </c>
      <c r="O36" s="6">
        <f>IF(I36="",설정!$B$2-J36,I36-J36)</f>
        <v/>
      </c>
      <c r="P36" s="6">
        <f>IF(O36&gt;14,IF(N36="처리중","기한초과","지연처리"),"")</f>
        <v/>
      </c>
    </row>
    <row r="37">
      <c r="A37" s="6" t="inlineStr">
        <is>
          <t>2026-0032</t>
        </is>
      </c>
      <c r="B37" s="7" t="n">
        <v>46282</v>
      </c>
      <c r="C37" s="6" t="inlineStr">
        <is>
          <t>오성민</t>
        </is>
      </c>
      <c r="D37" s="6" t="inlineStr">
        <is>
          <t>01074521716</t>
        </is>
      </c>
      <c r="E37" s="6" t="inlineStr">
        <is>
          <t xml:space="preserve">  대구광역시  서구 지산동 413-11</t>
        </is>
      </c>
      <c r="F37" s="6" t="inlineStr">
        <is>
          <t>민원봉사과</t>
        </is>
      </c>
      <c r="G37" s="6" t="inlineStr">
        <is>
          <t>민원실 이용 불편 건의</t>
        </is>
      </c>
      <c r="H37" s="6" t="inlineStr">
        <is>
          <t>완료</t>
        </is>
      </c>
      <c r="I37" s="7" t="n">
        <v>46293</v>
      </c>
      <c r="J37" s="7">
        <f>IF(ISNUMBER(B37),B37,DATE(VALUE(LEFT(B37,4)),VALUE(MID(B37,6,2)),VALUE(RIGHT(B37,2))))</f>
        <v/>
      </c>
      <c r="K37" s="6">
        <f>LEFT(SUBSTITUTE(SUBSTITUTE(D37,"-","")," ",""),3)&amp;"-"&amp;MID(SUBSTITUTE(SUBSTITUTE(D37,"-","")," ",""),4,4)&amp;"-"&amp;RIGHT(SUBSTITUTE(SUBSTITUTE(D37,"-","")," ",""),4)</f>
        <v/>
      </c>
      <c r="L37" s="6">
        <f>TRIM(MID(SUBSTITUTE(TRIM(E37)," ",REPT(" ",50)),51,50))</f>
        <v/>
      </c>
      <c r="M37" s="6">
        <f>SUBSTITUTE(F37," ","")</f>
        <v/>
      </c>
      <c r="N37" s="6">
        <f>TRIM(H37)</f>
        <v/>
      </c>
      <c r="O37" s="6">
        <f>IF(I37="",설정!$B$2-J37,I37-J37)</f>
        <v/>
      </c>
      <c r="P37" s="6">
        <f>IF(O37&gt;14,IF(N37="처리중","기한초과","지연처리"),"")</f>
        <v/>
      </c>
    </row>
    <row r="38">
      <c r="A38" s="6" t="inlineStr">
        <is>
          <t>2026-0031</t>
        </is>
      </c>
      <c r="B38" s="7" t="n">
        <v>46288</v>
      </c>
      <c r="C38" s="6" t="inlineStr">
        <is>
          <t>황성민</t>
        </is>
      </c>
      <c r="D38" s="6" t="inlineStr">
        <is>
          <t>010 6315 5381</t>
        </is>
      </c>
      <c r="E38" s="6" t="inlineStr">
        <is>
          <t>대구광역시 서구 지산동 940-19</t>
        </is>
      </c>
      <c r="F38" s="6" t="inlineStr">
        <is>
          <t>건축 과</t>
        </is>
      </c>
      <c r="G38" s="6" t="inlineStr">
        <is>
          <t>건축허가 처리 문의</t>
        </is>
      </c>
      <c r="H38" s="6" t="inlineStr">
        <is>
          <t>이관</t>
        </is>
      </c>
      <c r="I38" s="7" t="n">
        <v>46292</v>
      </c>
      <c r="J38" s="7">
        <f>IF(ISNUMBER(B38),B38,DATE(VALUE(LEFT(B38,4)),VALUE(MID(B38,6,2)),VALUE(RIGHT(B38,2))))</f>
        <v/>
      </c>
      <c r="K38" s="6">
        <f>LEFT(SUBSTITUTE(SUBSTITUTE(D38,"-","")," ",""),3)&amp;"-"&amp;MID(SUBSTITUTE(SUBSTITUTE(D38,"-","")," ",""),4,4)&amp;"-"&amp;RIGHT(SUBSTITUTE(SUBSTITUTE(D38,"-","")," ",""),4)</f>
        <v/>
      </c>
      <c r="L38" s="6">
        <f>TRIM(MID(SUBSTITUTE(TRIM(E38)," ",REPT(" ",50)),51,50))</f>
        <v/>
      </c>
      <c r="M38" s="6">
        <f>SUBSTITUTE(F38," ","")</f>
        <v/>
      </c>
      <c r="N38" s="6">
        <f>TRIM(H38)</f>
        <v/>
      </c>
      <c r="O38" s="6">
        <f>IF(I38="",설정!$B$2-J38,I38-J38)</f>
        <v/>
      </c>
      <c r="P38" s="6">
        <f>IF(O38&gt;14,IF(N38="처리중","기한초과","지연처리"),"")</f>
        <v/>
      </c>
    </row>
    <row r="39">
      <c r="A39" s="6" t="inlineStr">
        <is>
          <t>2026-0032</t>
        </is>
      </c>
      <c r="B39" s="7" t="n">
        <v>46282</v>
      </c>
      <c r="C39" s="6" t="inlineStr">
        <is>
          <t>오성민</t>
        </is>
      </c>
      <c r="D39" s="6" t="inlineStr">
        <is>
          <t>01074521716</t>
        </is>
      </c>
      <c r="E39" s="6" t="inlineStr">
        <is>
          <t xml:space="preserve">  대구광역시  서구 지산동 413-11</t>
        </is>
      </c>
      <c r="F39" s="6" t="inlineStr">
        <is>
          <t>민원봉사과</t>
        </is>
      </c>
      <c r="G39" s="6" t="inlineStr">
        <is>
          <t>민원실 이용 불편 건의</t>
        </is>
      </c>
      <c r="H39" s="6" t="inlineStr">
        <is>
          <t>완료</t>
        </is>
      </c>
      <c r="I39" s="7" t="n">
        <v>46293</v>
      </c>
      <c r="J39" s="7">
        <f>IF(ISNUMBER(B39),B39,DATE(VALUE(LEFT(B39,4)),VALUE(MID(B39,6,2)),VALUE(RIGHT(B39,2))))</f>
        <v/>
      </c>
      <c r="K39" s="6">
        <f>LEFT(SUBSTITUTE(SUBSTITUTE(D39,"-","")," ",""),3)&amp;"-"&amp;MID(SUBSTITUTE(SUBSTITUTE(D39,"-","")," ",""),4,4)&amp;"-"&amp;RIGHT(SUBSTITUTE(SUBSTITUTE(D39,"-","")," ",""),4)</f>
        <v/>
      </c>
      <c r="L39" s="6">
        <f>TRIM(MID(SUBSTITUTE(TRIM(E39)," ",REPT(" ",50)),51,50))</f>
        <v/>
      </c>
      <c r="M39" s="6">
        <f>SUBSTITUTE(F39," ","")</f>
        <v/>
      </c>
      <c r="N39" s="6">
        <f>TRIM(H39)</f>
        <v/>
      </c>
      <c r="O39" s="6">
        <f>IF(I39="",설정!$B$2-J39,I39-J39)</f>
        <v/>
      </c>
      <c r="P39" s="6">
        <f>IF(O39&gt;14,IF(N39="처리중","기한초과","지연처리"),"")</f>
        <v/>
      </c>
    </row>
    <row r="40">
      <c r="A40" s="6" t="inlineStr">
        <is>
          <t>2026-0033</t>
        </is>
      </c>
      <c r="B40" s="7" t="n">
        <v>46292</v>
      </c>
      <c r="C40" s="6" t="inlineStr">
        <is>
          <t>장지우</t>
        </is>
      </c>
      <c r="D40" s="6" t="inlineStr">
        <is>
          <t>010-4712-4039</t>
        </is>
      </c>
      <c r="E40" s="6" t="inlineStr">
        <is>
          <t>대구광역시 북구 상인동 328-9</t>
        </is>
      </c>
      <c r="F40" s="6" t="inlineStr">
        <is>
          <t>교통행정과</t>
        </is>
      </c>
      <c r="G40" s="6" t="inlineStr">
        <is>
          <t>버스노선 조정 건의</t>
        </is>
      </c>
      <c r="H40" s="6" t="inlineStr">
        <is>
          <t>완료</t>
        </is>
      </c>
      <c r="I40" s="7" t="n">
        <v>46297</v>
      </c>
      <c r="J40" s="7">
        <f>IF(ISNUMBER(B40),B40,DATE(VALUE(LEFT(B40,4)),VALUE(MID(B40,6,2)),VALUE(RIGHT(B40,2))))</f>
        <v/>
      </c>
      <c r="K40" s="6">
        <f>LEFT(SUBSTITUTE(SUBSTITUTE(D40,"-","")," ",""),3)&amp;"-"&amp;MID(SUBSTITUTE(SUBSTITUTE(D40,"-","")," ",""),4,4)&amp;"-"&amp;RIGHT(SUBSTITUTE(SUBSTITUTE(D40,"-","")," ",""),4)</f>
        <v/>
      </c>
      <c r="L40" s="6">
        <f>TRIM(MID(SUBSTITUTE(TRIM(E40)," ",REPT(" ",50)),51,50))</f>
        <v/>
      </c>
      <c r="M40" s="6">
        <f>SUBSTITUTE(F40," ","")</f>
        <v/>
      </c>
      <c r="N40" s="6">
        <f>TRIM(H40)</f>
        <v/>
      </c>
      <c r="O40" s="6">
        <f>IF(I40="",설정!$B$2-J40,I40-J40)</f>
        <v/>
      </c>
      <c r="P40" s="6">
        <f>IF(O40&gt;14,IF(N40="처리중","기한초과","지연처리"),"")</f>
        <v/>
      </c>
    </row>
    <row r="41">
      <c r="A41" s="6" t="inlineStr">
        <is>
          <t>2026-0034</t>
        </is>
      </c>
      <c r="B41" s="7" t="n">
        <v>46275</v>
      </c>
      <c r="C41" s="6" t="inlineStr">
        <is>
          <t>황세아</t>
        </is>
      </c>
      <c r="D41" s="6" t="inlineStr">
        <is>
          <t>010-9148-0303</t>
        </is>
      </c>
      <c r="E41" s="6" t="inlineStr">
        <is>
          <t>대구광역시 중구 범어동 563-23</t>
        </is>
      </c>
      <c r="F41" s="6" t="inlineStr">
        <is>
          <t>교통행정과</t>
        </is>
      </c>
      <c r="G41" s="6" t="inlineStr">
        <is>
          <t>불법주정차 신고</t>
        </is>
      </c>
      <c r="H41" s="6" t="inlineStr">
        <is>
          <t>처리중</t>
        </is>
      </c>
      <c r="I41" s="7" t="n"/>
      <c r="J41" s="7">
        <f>IF(ISNUMBER(B41),B41,DATE(VALUE(LEFT(B41,4)),VALUE(MID(B41,6,2)),VALUE(RIGHT(B41,2))))</f>
        <v/>
      </c>
      <c r="K41" s="6">
        <f>LEFT(SUBSTITUTE(SUBSTITUTE(D41,"-","")," ",""),3)&amp;"-"&amp;MID(SUBSTITUTE(SUBSTITUTE(D41,"-","")," ",""),4,4)&amp;"-"&amp;RIGHT(SUBSTITUTE(SUBSTITUTE(D41,"-","")," ",""),4)</f>
        <v/>
      </c>
      <c r="L41" s="6">
        <f>TRIM(MID(SUBSTITUTE(TRIM(E41)," ",REPT(" ",50)),51,50))</f>
        <v/>
      </c>
      <c r="M41" s="6">
        <f>SUBSTITUTE(F41," ","")</f>
        <v/>
      </c>
      <c r="N41" s="6">
        <f>TRIM(H41)</f>
        <v/>
      </c>
      <c r="O41" s="6">
        <f>IF(I41="",설정!$B$2-J41,I41-J41)</f>
        <v/>
      </c>
      <c r="P41" s="6">
        <f>IF(O41&gt;14,IF(N41="처리중","기한초과","지연처리"),"")</f>
        <v/>
      </c>
    </row>
    <row r="42">
      <c r="A42" s="6" t="inlineStr">
        <is>
          <t>2026-0035</t>
        </is>
      </c>
      <c r="B42" s="7" t="n">
        <v>46293</v>
      </c>
      <c r="C42" s="6" t="inlineStr">
        <is>
          <t>신동현</t>
        </is>
      </c>
      <c r="D42" s="6" t="inlineStr">
        <is>
          <t>010-8365-5345</t>
        </is>
      </c>
      <c r="E42" s="6" t="inlineStr">
        <is>
          <t>대구광역시 수성구 신암동 573-23</t>
        </is>
      </c>
      <c r="F42" s="6" t="inlineStr">
        <is>
          <t>복지정책과</t>
        </is>
      </c>
      <c r="G42" s="6" t="inlineStr">
        <is>
          <t>노인돌봄서비스 신청 문의</t>
        </is>
      </c>
      <c r="H42" s="6" t="inlineStr">
        <is>
          <t>처리중</t>
        </is>
      </c>
      <c r="I42" s="7" t="n"/>
      <c r="J42" s="7">
        <f>IF(ISNUMBER(B42),B42,DATE(VALUE(LEFT(B42,4)),VALUE(MID(B42,6,2)),VALUE(RIGHT(B42,2))))</f>
        <v/>
      </c>
      <c r="K42" s="6">
        <f>LEFT(SUBSTITUTE(SUBSTITUTE(D42,"-","")," ",""),3)&amp;"-"&amp;MID(SUBSTITUTE(SUBSTITUTE(D42,"-","")," ",""),4,4)&amp;"-"&amp;RIGHT(SUBSTITUTE(SUBSTITUTE(D42,"-","")," ",""),4)</f>
        <v/>
      </c>
      <c r="L42" s="6">
        <f>TRIM(MID(SUBSTITUTE(TRIM(E42)," ",REPT(" ",50)),51,50))</f>
        <v/>
      </c>
      <c r="M42" s="6">
        <f>SUBSTITUTE(F42," ","")</f>
        <v/>
      </c>
      <c r="N42" s="6">
        <f>TRIM(H42)</f>
        <v/>
      </c>
      <c r="O42" s="6">
        <f>IF(I42="",설정!$B$2-J42,I42-J42)</f>
        <v/>
      </c>
      <c r="P42" s="6">
        <f>IF(O42&gt;14,IF(N42="처리중","기한초과","지연처리"),"")</f>
        <v/>
      </c>
    </row>
    <row r="43">
      <c r="A43" s="6" t="inlineStr">
        <is>
          <t>2026-0036</t>
        </is>
      </c>
      <c r="B43" s="6" t="inlineStr">
        <is>
          <t>2026.10.01</t>
        </is>
      </c>
      <c r="C43" s="6" t="inlineStr">
        <is>
          <t>조소율</t>
        </is>
      </c>
      <c r="D43" s="6" t="inlineStr">
        <is>
          <t>01066056809</t>
        </is>
      </c>
      <c r="E43" s="6" t="inlineStr">
        <is>
          <t>대구광역시 달서구 지산동 528-9</t>
        </is>
      </c>
      <c r="F43" s="6" t="inlineStr">
        <is>
          <t>복지정책과</t>
        </is>
      </c>
      <c r="G43" s="6" t="inlineStr">
        <is>
          <t>기초생활수급 상담</t>
        </is>
      </c>
      <c r="H43" s="6" t="inlineStr">
        <is>
          <t>완료</t>
        </is>
      </c>
      <c r="I43" s="7" t="n">
        <v>46304</v>
      </c>
      <c r="J43" s="7">
        <f>IF(ISNUMBER(B43),B43,DATE(VALUE(LEFT(B43,4)),VALUE(MID(B43,6,2)),VALUE(RIGHT(B43,2))))</f>
        <v/>
      </c>
      <c r="K43" s="6">
        <f>LEFT(SUBSTITUTE(SUBSTITUTE(D43,"-","")," ",""),3)&amp;"-"&amp;MID(SUBSTITUTE(SUBSTITUTE(D43,"-","")," ",""),4,4)&amp;"-"&amp;RIGHT(SUBSTITUTE(SUBSTITUTE(D43,"-","")," ",""),4)</f>
        <v/>
      </c>
      <c r="L43" s="6">
        <f>TRIM(MID(SUBSTITUTE(TRIM(E43)," ",REPT(" ",50)),51,50))</f>
        <v/>
      </c>
      <c r="M43" s="6">
        <f>SUBSTITUTE(F43," ","")</f>
        <v/>
      </c>
      <c r="N43" s="6">
        <f>TRIM(H43)</f>
        <v/>
      </c>
      <c r="O43" s="6">
        <f>IF(I43="",설정!$B$2-J43,I43-J43)</f>
        <v/>
      </c>
      <c r="P43" s="6">
        <f>IF(O43&gt;14,IF(N43="처리중","기한초과","지연처리"),"")</f>
        <v/>
      </c>
    </row>
    <row r="44">
      <c r="A44" s="6" t="inlineStr">
        <is>
          <t>2026-0068</t>
        </is>
      </c>
      <c r="B44" s="6" t="inlineStr">
        <is>
          <t>2026.10.13</t>
        </is>
      </c>
      <c r="C44" s="6" t="inlineStr">
        <is>
          <t>윤소율</t>
        </is>
      </c>
      <c r="D44" s="6" t="inlineStr">
        <is>
          <t>01059602011</t>
        </is>
      </c>
      <c r="E44" s="6" t="inlineStr">
        <is>
          <t>대구광역시 동구 대명동 397-20</t>
        </is>
      </c>
      <c r="F44" s="6" t="inlineStr">
        <is>
          <t>교통행정과</t>
        </is>
      </c>
      <c r="G44" s="6" t="inlineStr">
        <is>
          <t>버스노선 조정 건의</t>
        </is>
      </c>
      <c r="H44" s="6" t="inlineStr">
        <is>
          <t>완료</t>
        </is>
      </c>
      <c r="I44" s="7" t="n">
        <v>46320</v>
      </c>
      <c r="J44" s="7">
        <f>IF(ISNUMBER(B44),B44,DATE(VALUE(LEFT(B44,4)),VALUE(MID(B44,6,2)),VALUE(RIGHT(B44,2))))</f>
        <v/>
      </c>
      <c r="K44" s="6">
        <f>LEFT(SUBSTITUTE(SUBSTITUTE(D44,"-","")," ",""),3)&amp;"-"&amp;MID(SUBSTITUTE(SUBSTITUTE(D44,"-","")," ",""),4,4)&amp;"-"&amp;RIGHT(SUBSTITUTE(SUBSTITUTE(D44,"-","")," ",""),4)</f>
        <v/>
      </c>
      <c r="L44" s="6">
        <f>TRIM(MID(SUBSTITUTE(TRIM(E44)," ",REPT(" ",50)),51,50))</f>
        <v/>
      </c>
      <c r="M44" s="6">
        <f>SUBSTITUTE(F44," ","")</f>
        <v/>
      </c>
      <c r="N44" s="6">
        <f>TRIM(H44)</f>
        <v/>
      </c>
      <c r="O44" s="6">
        <f>IF(I44="",설정!$B$2-J44,I44-J44)</f>
        <v/>
      </c>
      <c r="P44" s="6">
        <f>IF(O44&gt;14,IF(N44="처리중","기한초과","지연처리"),"")</f>
        <v/>
      </c>
    </row>
    <row r="45">
      <c r="A45" s="6" t="inlineStr">
        <is>
          <t>2026-0037</t>
        </is>
      </c>
      <c r="B45" s="6" t="inlineStr">
        <is>
          <t>2026.09.07</t>
        </is>
      </c>
      <c r="C45" s="6" t="inlineStr">
        <is>
          <t>정하은</t>
        </is>
      </c>
      <c r="D45" s="6" t="inlineStr">
        <is>
          <t>010-5769-8636</t>
        </is>
      </c>
      <c r="E45" s="6" t="inlineStr">
        <is>
          <t>대구광역시 달서구 신암동 87-19</t>
        </is>
      </c>
      <c r="F45" s="6" t="inlineStr">
        <is>
          <t>환경위생과</t>
        </is>
      </c>
      <c r="G45" s="6" t="inlineStr">
        <is>
          <t>생활쓰레기 무단투기 민원</t>
        </is>
      </c>
      <c r="H45" s="6" t="inlineStr">
        <is>
          <t>완료</t>
        </is>
      </c>
      <c r="I45" s="7" t="n">
        <v>46280</v>
      </c>
      <c r="J45" s="7">
        <f>IF(ISNUMBER(B45),B45,DATE(VALUE(LEFT(B45,4)),VALUE(MID(B45,6,2)),VALUE(RIGHT(B45,2))))</f>
        <v/>
      </c>
      <c r="K45" s="6">
        <f>LEFT(SUBSTITUTE(SUBSTITUTE(D45,"-","")," ",""),3)&amp;"-"&amp;MID(SUBSTITUTE(SUBSTITUTE(D45,"-","")," ",""),4,4)&amp;"-"&amp;RIGHT(SUBSTITUTE(SUBSTITUTE(D45,"-","")," ",""),4)</f>
        <v/>
      </c>
      <c r="L45" s="6">
        <f>TRIM(MID(SUBSTITUTE(TRIM(E45)," ",REPT(" ",50)),51,50))</f>
        <v/>
      </c>
      <c r="M45" s="6">
        <f>SUBSTITUTE(F45," ","")</f>
        <v/>
      </c>
      <c r="N45" s="6">
        <f>TRIM(H45)</f>
        <v/>
      </c>
      <c r="O45" s="6">
        <f>IF(I45="",설정!$B$2-J45,I45-J45)</f>
        <v/>
      </c>
      <c r="P45" s="6">
        <f>IF(O45&gt;14,IF(N45="처리중","기한초과","지연처리"),"")</f>
        <v/>
      </c>
    </row>
    <row r="46">
      <c r="A46" s="6" t="inlineStr">
        <is>
          <t>2026-0038</t>
        </is>
      </c>
      <c r="B46" s="6" t="inlineStr">
        <is>
          <t>2026.09.18</t>
        </is>
      </c>
      <c r="C46" s="6" t="inlineStr">
        <is>
          <t>한동현</t>
        </is>
      </c>
      <c r="D46" s="6" t="inlineStr">
        <is>
          <t>010 6105 1805</t>
        </is>
      </c>
      <c r="E46" s="6" t="inlineStr">
        <is>
          <t>대구광역시 중구 내당동 352-12</t>
        </is>
      </c>
      <c r="F46" s="6" t="inlineStr">
        <is>
          <t>건축과</t>
        </is>
      </c>
      <c r="G46" s="6" t="inlineStr">
        <is>
          <t>건축허가 처리 문의</t>
        </is>
      </c>
      <c r="H46" s="6" t="inlineStr">
        <is>
          <t>완료</t>
        </is>
      </c>
      <c r="I46" s="7" t="n">
        <v>46301</v>
      </c>
      <c r="J46" s="7">
        <f>IF(ISNUMBER(B46),B46,DATE(VALUE(LEFT(B46,4)),VALUE(MID(B46,6,2)),VALUE(RIGHT(B46,2))))</f>
        <v/>
      </c>
      <c r="K46" s="6">
        <f>LEFT(SUBSTITUTE(SUBSTITUTE(D46,"-","")," ",""),3)&amp;"-"&amp;MID(SUBSTITUTE(SUBSTITUTE(D46,"-","")," ",""),4,4)&amp;"-"&amp;RIGHT(SUBSTITUTE(SUBSTITUTE(D46,"-","")," ",""),4)</f>
        <v/>
      </c>
      <c r="L46" s="6">
        <f>TRIM(MID(SUBSTITUTE(TRIM(E46)," ",REPT(" ",50)),51,50))</f>
        <v/>
      </c>
      <c r="M46" s="6">
        <f>SUBSTITUTE(F46," ","")</f>
        <v/>
      </c>
      <c r="N46" s="6">
        <f>TRIM(H46)</f>
        <v/>
      </c>
      <c r="O46" s="6">
        <f>IF(I46="",설정!$B$2-J46,I46-J46)</f>
        <v/>
      </c>
      <c r="P46" s="6">
        <f>IF(O46&gt;14,IF(N46="처리중","기한초과","지연처리"),"")</f>
        <v/>
      </c>
    </row>
    <row r="47">
      <c r="A47" s="6" t="inlineStr">
        <is>
          <t>2026-0039</t>
        </is>
      </c>
      <c r="B47" s="7" t="n">
        <v>46268</v>
      </c>
      <c r="C47" s="6" t="inlineStr">
        <is>
          <t>류서연</t>
        </is>
      </c>
      <c r="D47" s="6" t="inlineStr">
        <is>
          <t>01079148845</t>
        </is>
      </c>
      <c r="E47" s="6" t="inlineStr">
        <is>
          <t>대구광역시 중구 동성로 377-9</t>
        </is>
      </c>
      <c r="F47" s="6" t="inlineStr">
        <is>
          <t>민원봉사과</t>
        </is>
      </c>
      <c r="G47" s="6" t="inlineStr">
        <is>
          <t>민원실 이용 불편 건의</t>
        </is>
      </c>
      <c r="H47" s="6" t="inlineStr">
        <is>
          <t>완료</t>
        </is>
      </c>
      <c r="I47" s="7" t="n">
        <v>46269</v>
      </c>
      <c r="J47" s="7">
        <f>IF(ISNUMBER(B47),B47,DATE(VALUE(LEFT(B47,4)),VALUE(MID(B47,6,2)),VALUE(RIGHT(B47,2))))</f>
        <v/>
      </c>
      <c r="K47" s="6">
        <f>LEFT(SUBSTITUTE(SUBSTITUTE(D47,"-","")," ",""),3)&amp;"-"&amp;MID(SUBSTITUTE(SUBSTITUTE(D47,"-","")," ",""),4,4)&amp;"-"&amp;RIGHT(SUBSTITUTE(SUBSTITUTE(D47,"-","")," ",""),4)</f>
        <v/>
      </c>
      <c r="L47" s="6">
        <f>TRIM(MID(SUBSTITUTE(TRIM(E47)," ",REPT(" ",50)),51,50))</f>
        <v/>
      </c>
      <c r="M47" s="6">
        <f>SUBSTITUTE(F47," ","")</f>
        <v/>
      </c>
      <c r="N47" s="6">
        <f>TRIM(H47)</f>
        <v/>
      </c>
      <c r="O47" s="6">
        <f>IF(I47="",설정!$B$2-J47,I47-J47)</f>
        <v/>
      </c>
      <c r="P47" s="6">
        <f>IF(O47&gt;14,IF(N47="처리중","기한초과","지연처리"),"")</f>
        <v/>
      </c>
    </row>
    <row r="48">
      <c r="A48" s="6" t="inlineStr">
        <is>
          <t>2026-0040</t>
        </is>
      </c>
      <c r="B48" s="6" t="inlineStr">
        <is>
          <t>2026.09.05</t>
        </is>
      </c>
      <c r="C48" s="6" t="inlineStr">
        <is>
          <t>한채원</t>
        </is>
      </c>
      <c r="D48" s="6" t="inlineStr">
        <is>
          <t>010 7007 8202</t>
        </is>
      </c>
      <c r="E48" s="6" t="inlineStr">
        <is>
          <t>대구광역시 동구 상인동 874-17</t>
        </is>
      </c>
      <c r="F48" s="6" t="inlineStr">
        <is>
          <t>민원봉사과</t>
        </is>
      </c>
      <c r="G48" s="6" t="inlineStr">
        <is>
          <t>증명서 발급 문의</t>
        </is>
      </c>
      <c r="H48" s="6" t="inlineStr">
        <is>
          <t>처리중</t>
        </is>
      </c>
      <c r="I48" s="7" t="n"/>
      <c r="J48" s="7">
        <f>IF(ISNUMBER(B48),B48,DATE(VALUE(LEFT(B48,4)),VALUE(MID(B48,6,2)),VALUE(RIGHT(B48,2))))</f>
        <v/>
      </c>
      <c r="K48" s="6">
        <f>LEFT(SUBSTITUTE(SUBSTITUTE(D48,"-","")," ",""),3)&amp;"-"&amp;MID(SUBSTITUTE(SUBSTITUTE(D48,"-","")," ",""),4,4)&amp;"-"&amp;RIGHT(SUBSTITUTE(SUBSTITUTE(D48,"-","")," ",""),4)</f>
        <v/>
      </c>
      <c r="L48" s="6">
        <f>TRIM(MID(SUBSTITUTE(TRIM(E48)," ",REPT(" ",50)),51,50))</f>
        <v/>
      </c>
      <c r="M48" s="6">
        <f>SUBSTITUTE(F48," ","")</f>
        <v/>
      </c>
      <c r="N48" s="6">
        <f>TRIM(H48)</f>
        <v/>
      </c>
      <c r="O48" s="6">
        <f>IF(I48="",설정!$B$2-J48,I48-J48)</f>
        <v/>
      </c>
      <c r="P48" s="6">
        <f>IF(O48&gt;14,IF(N48="처리중","기한초과","지연처리"),"")</f>
        <v/>
      </c>
    </row>
    <row r="49">
      <c r="A49" s="6" t="inlineStr">
        <is>
          <t>2026-0041</t>
        </is>
      </c>
      <c r="B49" s="7" t="n">
        <v>46270</v>
      </c>
      <c r="C49" s="6" t="inlineStr">
        <is>
          <t>김시우</t>
        </is>
      </c>
      <c r="D49" s="6" t="inlineStr">
        <is>
          <t>010 6455 9740</t>
        </is>
      </c>
      <c r="E49" s="6" t="inlineStr">
        <is>
          <t>대구광역시 동구 침산동 890-13</t>
        </is>
      </c>
      <c r="F49" s="6" t="inlineStr">
        <is>
          <t>교통행정과</t>
        </is>
      </c>
      <c r="G49" s="6" t="inlineStr">
        <is>
          <t>불법주정차 신고</t>
        </is>
      </c>
      <c r="H49" s="6" t="inlineStr">
        <is>
          <t>처리중</t>
        </is>
      </c>
      <c r="I49" s="7" t="n"/>
      <c r="J49" s="7">
        <f>IF(ISNUMBER(B49),B49,DATE(VALUE(LEFT(B49,4)),VALUE(MID(B49,6,2)),VALUE(RIGHT(B49,2))))</f>
        <v/>
      </c>
      <c r="K49" s="6">
        <f>LEFT(SUBSTITUTE(SUBSTITUTE(D49,"-","")," ",""),3)&amp;"-"&amp;MID(SUBSTITUTE(SUBSTITUTE(D49,"-","")," ",""),4,4)&amp;"-"&amp;RIGHT(SUBSTITUTE(SUBSTITUTE(D49,"-","")," ",""),4)</f>
        <v/>
      </c>
      <c r="L49" s="6">
        <f>TRIM(MID(SUBSTITUTE(TRIM(E49)," ",REPT(" ",50)),51,50))</f>
        <v/>
      </c>
      <c r="M49" s="6">
        <f>SUBSTITUTE(F49," ","")</f>
        <v/>
      </c>
      <c r="N49" s="6">
        <f>TRIM(H49)</f>
        <v/>
      </c>
      <c r="O49" s="6">
        <f>IF(I49="",설정!$B$2-J49,I49-J49)</f>
        <v/>
      </c>
      <c r="P49" s="6">
        <f>IF(O49&gt;14,IF(N49="처리중","기한초과","지연처리"),"")</f>
        <v/>
      </c>
    </row>
    <row r="50">
      <c r="A50" s="6" t="inlineStr">
        <is>
          <t>2026-0042</t>
        </is>
      </c>
      <c r="B50" s="7" t="n">
        <v>46279</v>
      </c>
      <c r="C50" s="6" t="inlineStr">
        <is>
          <t>서소율</t>
        </is>
      </c>
      <c r="D50" s="6" t="inlineStr">
        <is>
          <t>010-5835-7288</t>
        </is>
      </c>
      <c r="E50" s="6" t="inlineStr">
        <is>
          <t>대구광역시 북구 지산동 140-18</t>
        </is>
      </c>
      <c r="F50" s="6" t="inlineStr">
        <is>
          <t>건축과</t>
        </is>
      </c>
      <c r="G50" s="6" t="inlineStr">
        <is>
          <t>불법 건축물 신고</t>
        </is>
      </c>
      <c r="H50" s="6" t="inlineStr">
        <is>
          <t>완료</t>
        </is>
      </c>
      <c r="I50" s="7" t="n">
        <v>46296</v>
      </c>
      <c r="J50" s="7">
        <f>IF(ISNUMBER(B50),B50,DATE(VALUE(LEFT(B50,4)),VALUE(MID(B50,6,2)),VALUE(RIGHT(B50,2))))</f>
        <v/>
      </c>
      <c r="K50" s="6">
        <f>LEFT(SUBSTITUTE(SUBSTITUTE(D50,"-","")," ",""),3)&amp;"-"&amp;MID(SUBSTITUTE(SUBSTITUTE(D50,"-","")," ",""),4,4)&amp;"-"&amp;RIGHT(SUBSTITUTE(SUBSTITUTE(D50,"-","")," ",""),4)</f>
        <v/>
      </c>
      <c r="L50" s="6">
        <f>TRIM(MID(SUBSTITUTE(TRIM(E50)," ",REPT(" ",50)),51,50))</f>
        <v/>
      </c>
      <c r="M50" s="6">
        <f>SUBSTITUTE(F50," ","")</f>
        <v/>
      </c>
      <c r="N50" s="6">
        <f>TRIM(H50)</f>
        <v/>
      </c>
      <c r="O50" s="6">
        <f>IF(I50="",설정!$B$2-J50,I50-J50)</f>
        <v/>
      </c>
      <c r="P50" s="6">
        <f>IF(O50&gt;14,IF(N50="처리중","기한초과","지연처리"),"")</f>
        <v/>
      </c>
    </row>
    <row r="51">
      <c r="A51" s="6" t="inlineStr">
        <is>
          <t>2026-0043</t>
        </is>
      </c>
      <c r="B51" s="6" t="inlineStr">
        <is>
          <t>2026.09.10</t>
        </is>
      </c>
      <c r="C51" s="6" t="inlineStr">
        <is>
          <t>강지호</t>
        </is>
      </c>
      <c r="D51" s="6" t="inlineStr">
        <is>
          <t>010-4761-6973</t>
        </is>
      </c>
      <c r="E51" s="6" t="inlineStr">
        <is>
          <t>대구광역시 서구 만촌동 63-26</t>
        </is>
      </c>
      <c r="F51" s="6" t="inlineStr">
        <is>
          <t>교통 행정과</t>
        </is>
      </c>
      <c r="G51" s="6" t="inlineStr">
        <is>
          <t>버스노선 조정 건의</t>
        </is>
      </c>
      <c r="H51" s="6" t="inlineStr">
        <is>
          <t>완료</t>
        </is>
      </c>
      <c r="I51" s="7" t="n">
        <v>46280</v>
      </c>
      <c r="J51" s="7">
        <f>IF(ISNUMBER(B51),B51,DATE(VALUE(LEFT(B51,4)),VALUE(MID(B51,6,2)),VALUE(RIGHT(B51,2))))</f>
        <v/>
      </c>
      <c r="K51" s="6">
        <f>LEFT(SUBSTITUTE(SUBSTITUTE(D51,"-","")," ",""),3)&amp;"-"&amp;MID(SUBSTITUTE(SUBSTITUTE(D51,"-","")," ",""),4,4)&amp;"-"&amp;RIGHT(SUBSTITUTE(SUBSTITUTE(D51,"-","")," ",""),4)</f>
        <v/>
      </c>
      <c r="L51" s="6">
        <f>TRIM(MID(SUBSTITUTE(TRIM(E51)," ",REPT(" ",50)),51,50))</f>
        <v/>
      </c>
      <c r="M51" s="6">
        <f>SUBSTITUTE(F51," ","")</f>
        <v/>
      </c>
      <c r="N51" s="6">
        <f>TRIM(H51)</f>
        <v/>
      </c>
      <c r="O51" s="6">
        <f>IF(I51="",설정!$B$2-J51,I51-J51)</f>
        <v/>
      </c>
      <c r="P51" s="6">
        <f>IF(O51&gt;14,IF(N51="처리중","기한초과","지연처리"),"")</f>
        <v/>
      </c>
    </row>
    <row r="52">
      <c r="A52" s="6" t="inlineStr">
        <is>
          <t>2026-0044</t>
        </is>
      </c>
      <c r="B52" s="7" t="n">
        <v>46300</v>
      </c>
      <c r="C52" s="6" t="inlineStr">
        <is>
          <t>임지우</t>
        </is>
      </c>
      <c r="D52" s="6" t="inlineStr">
        <is>
          <t>010-3719-9812</t>
        </is>
      </c>
      <c r="E52" s="6" t="inlineStr">
        <is>
          <t>대구광역시 서구 칠성동 424-21</t>
        </is>
      </c>
      <c r="F52" s="6" t="inlineStr">
        <is>
          <t>민원봉사과</t>
        </is>
      </c>
      <c r="G52" s="6" t="inlineStr">
        <is>
          <t>민원실 이용 불편 건의</t>
        </is>
      </c>
      <c r="H52" s="6" t="inlineStr">
        <is>
          <t>완료</t>
        </is>
      </c>
      <c r="I52" s="7" t="n">
        <v>46315</v>
      </c>
      <c r="J52" s="7">
        <f>IF(ISNUMBER(B52),B52,DATE(VALUE(LEFT(B52,4)),VALUE(MID(B52,6,2)),VALUE(RIGHT(B52,2))))</f>
        <v/>
      </c>
      <c r="K52" s="6">
        <f>LEFT(SUBSTITUTE(SUBSTITUTE(D52,"-","")," ",""),3)&amp;"-"&amp;MID(SUBSTITUTE(SUBSTITUTE(D52,"-","")," ",""),4,4)&amp;"-"&amp;RIGHT(SUBSTITUTE(SUBSTITUTE(D52,"-","")," ",""),4)</f>
        <v/>
      </c>
      <c r="L52" s="6">
        <f>TRIM(MID(SUBSTITUTE(TRIM(E52)," ",REPT(" ",50)),51,50))</f>
        <v/>
      </c>
      <c r="M52" s="6">
        <f>SUBSTITUTE(F52," ","")</f>
        <v/>
      </c>
      <c r="N52" s="6">
        <f>TRIM(H52)</f>
        <v/>
      </c>
      <c r="O52" s="6">
        <f>IF(I52="",설정!$B$2-J52,I52-J52)</f>
        <v/>
      </c>
      <c r="P52" s="6">
        <f>IF(O52&gt;14,IF(N52="처리중","기한초과","지연처리"),"")</f>
        <v/>
      </c>
    </row>
    <row r="53">
      <c r="A53" s="6" t="inlineStr">
        <is>
          <t>2026-0045</t>
        </is>
      </c>
      <c r="B53" s="7" t="n">
        <v>46300</v>
      </c>
      <c r="C53" s="6" t="inlineStr">
        <is>
          <t>장건우</t>
        </is>
      </c>
      <c r="D53" s="6" t="inlineStr">
        <is>
          <t>01073554102</t>
        </is>
      </c>
      <c r="E53" s="6" t="inlineStr">
        <is>
          <t xml:space="preserve">  대구광역시  동구 범어동 483-1</t>
        </is>
      </c>
      <c r="F53" s="6" t="inlineStr">
        <is>
          <t>도로과</t>
        </is>
      </c>
      <c r="G53" s="6" t="inlineStr">
        <is>
          <t>도로 파손(포트홀) 신고</t>
        </is>
      </c>
      <c r="H53" s="6" t="inlineStr">
        <is>
          <t>완료</t>
        </is>
      </c>
      <c r="I53" s="7" t="n">
        <v>46324</v>
      </c>
      <c r="J53" s="7">
        <f>IF(ISNUMBER(B53),B53,DATE(VALUE(LEFT(B53,4)),VALUE(MID(B53,6,2)),VALUE(RIGHT(B53,2))))</f>
        <v/>
      </c>
      <c r="K53" s="6">
        <f>LEFT(SUBSTITUTE(SUBSTITUTE(D53,"-","")," ",""),3)&amp;"-"&amp;MID(SUBSTITUTE(SUBSTITUTE(D53,"-","")," ",""),4,4)&amp;"-"&amp;RIGHT(SUBSTITUTE(SUBSTITUTE(D53,"-","")," ",""),4)</f>
        <v/>
      </c>
      <c r="L53" s="6">
        <f>TRIM(MID(SUBSTITUTE(TRIM(E53)," ",REPT(" ",50)),51,50))</f>
        <v/>
      </c>
      <c r="M53" s="6">
        <f>SUBSTITUTE(F53," ","")</f>
        <v/>
      </c>
      <c r="N53" s="6">
        <f>TRIM(H53)</f>
        <v/>
      </c>
      <c r="O53" s="6">
        <f>IF(I53="",설정!$B$2-J53,I53-J53)</f>
        <v/>
      </c>
      <c r="P53" s="6">
        <f>IF(O53&gt;14,IF(N53="처리중","기한초과","지연처리"),"")</f>
        <v/>
      </c>
    </row>
    <row r="54">
      <c r="A54" s="6" t="inlineStr">
        <is>
          <t>2026-0046</t>
        </is>
      </c>
      <c r="B54" s="7" t="n">
        <v>46276</v>
      </c>
      <c r="C54" s="6" t="inlineStr">
        <is>
          <t>신은지</t>
        </is>
      </c>
      <c r="D54" s="6" t="inlineStr">
        <is>
          <t>01088133993</t>
        </is>
      </c>
      <c r="E54" s="6" t="inlineStr">
        <is>
          <t>대구광역시 달서구 동성로 231-22</t>
        </is>
      </c>
      <c r="F54" s="6" t="inlineStr">
        <is>
          <t xml:space="preserve">교통행정과 </t>
        </is>
      </c>
      <c r="G54" s="6" t="inlineStr">
        <is>
          <t>버스노선 조정 건의</t>
        </is>
      </c>
      <c r="H54" s="6" t="inlineStr">
        <is>
          <t>완료</t>
        </is>
      </c>
      <c r="I54" s="7" t="n">
        <v>46279</v>
      </c>
      <c r="J54" s="7">
        <f>IF(ISNUMBER(B54),B54,DATE(VALUE(LEFT(B54,4)),VALUE(MID(B54,6,2)),VALUE(RIGHT(B54,2))))</f>
        <v/>
      </c>
      <c r="K54" s="6">
        <f>LEFT(SUBSTITUTE(SUBSTITUTE(D54,"-","")," ",""),3)&amp;"-"&amp;MID(SUBSTITUTE(SUBSTITUTE(D54,"-","")," ",""),4,4)&amp;"-"&amp;RIGHT(SUBSTITUTE(SUBSTITUTE(D54,"-","")," ",""),4)</f>
        <v/>
      </c>
      <c r="L54" s="6">
        <f>TRIM(MID(SUBSTITUTE(TRIM(E54)," ",REPT(" ",50)),51,50))</f>
        <v/>
      </c>
      <c r="M54" s="6">
        <f>SUBSTITUTE(F54," ","")</f>
        <v/>
      </c>
      <c r="N54" s="6">
        <f>TRIM(H54)</f>
        <v/>
      </c>
      <c r="O54" s="6">
        <f>IF(I54="",설정!$B$2-J54,I54-J54)</f>
        <v/>
      </c>
      <c r="P54" s="6">
        <f>IF(O54&gt;14,IF(N54="처리중","기한초과","지연처리"),"")</f>
        <v/>
      </c>
    </row>
    <row r="55">
      <c r="A55" s="6" t="inlineStr">
        <is>
          <t>2026-0047</t>
        </is>
      </c>
      <c r="B55" s="6" t="inlineStr">
        <is>
          <t>2026.09.30</t>
        </is>
      </c>
      <c r="C55" s="6" t="inlineStr">
        <is>
          <t>박채원</t>
        </is>
      </c>
      <c r="D55" s="6" t="inlineStr">
        <is>
          <t>010 8911 9773</t>
        </is>
      </c>
      <c r="E55" s="6" t="inlineStr">
        <is>
          <t>대구광역시 동구 만촌동 494-3</t>
        </is>
      </c>
      <c r="F55" s="6" t="inlineStr">
        <is>
          <t xml:space="preserve">복지정책과 </t>
        </is>
      </c>
      <c r="G55" s="6" t="inlineStr">
        <is>
          <t>기초생활수급 상담</t>
        </is>
      </c>
      <c r="H55" s="6" t="inlineStr">
        <is>
          <t>처리중</t>
        </is>
      </c>
      <c r="I55" s="7" t="n"/>
      <c r="J55" s="7">
        <f>IF(ISNUMBER(B55),B55,DATE(VALUE(LEFT(B55,4)),VALUE(MID(B55,6,2)),VALUE(RIGHT(B55,2))))</f>
        <v/>
      </c>
      <c r="K55" s="6">
        <f>LEFT(SUBSTITUTE(SUBSTITUTE(D55,"-","")," ",""),3)&amp;"-"&amp;MID(SUBSTITUTE(SUBSTITUTE(D55,"-","")," ",""),4,4)&amp;"-"&amp;RIGHT(SUBSTITUTE(SUBSTITUTE(D55,"-","")," ",""),4)</f>
        <v/>
      </c>
      <c r="L55" s="6">
        <f>TRIM(MID(SUBSTITUTE(TRIM(E55)," ",REPT(" ",50)),51,50))</f>
        <v/>
      </c>
      <c r="M55" s="6">
        <f>SUBSTITUTE(F55," ","")</f>
        <v/>
      </c>
      <c r="N55" s="6">
        <f>TRIM(H55)</f>
        <v/>
      </c>
      <c r="O55" s="6">
        <f>IF(I55="",설정!$B$2-J55,I55-J55)</f>
        <v/>
      </c>
      <c r="P55" s="6">
        <f>IF(O55&gt;14,IF(N55="처리중","기한초과","지연처리"),"")</f>
        <v/>
      </c>
    </row>
    <row r="56">
      <c r="A56" s="6" t="inlineStr">
        <is>
          <t>2026-0048</t>
        </is>
      </c>
      <c r="B56" s="7" t="n">
        <v>46273</v>
      </c>
      <c r="C56" s="6" t="inlineStr">
        <is>
          <t>장동현</t>
        </is>
      </c>
      <c r="D56" s="6" t="inlineStr">
        <is>
          <t>01087431352</t>
        </is>
      </c>
      <c r="E56" s="6" t="inlineStr">
        <is>
          <t>대구광역시 달서구 신암동 295-24</t>
        </is>
      </c>
      <c r="F56" s="6" t="inlineStr">
        <is>
          <t>환경 위생과</t>
        </is>
      </c>
      <c r="G56" s="6" t="inlineStr">
        <is>
          <t>악취 발생 민원</t>
        </is>
      </c>
      <c r="H56" s="6" t="inlineStr">
        <is>
          <t>완료</t>
        </is>
      </c>
      <c r="I56" s="7" t="n">
        <v>46287</v>
      </c>
      <c r="J56" s="7">
        <f>IF(ISNUMBER(B56),B56,DATE(VALUE(LEFT(B56,4)),VALUE(MID(B56,6,2)),VALUE(RIGHT(B56,2))))</f>
        <v/>
      </c>
      <c r="K56" s="6">
        <f>LEFT(SUBSTITUTE(SUBSTITUTE(D56,"-","")," ",""),3)&amp;"-"&amp;MID(SUBSTITUTE(SUBSTITUTE(D56,"-","")," ",""),4,4)&amp;"-"&amp;RIGHT(SUBSTITUTE(SUBSTITUTE(D56,"-","")," ",""),4)</f>
        <v/>
      </c>
      <c r="L56" s="6">
        <f>TRIM(MID(SUBSTITUTE(TRIM(E56)," ",REPT(" ",50)),51,50))</f>
        <v/>
      </c>
      <c r="M56" s="6">
        <f>SUBSTITUTE(F56," ","")</f>
        <v/>
      </c>
      <c r="N56" s="6">
        <f>TRIM(H56)</f>
        <v/>
      </c>
      <c r="O56" s="6">
        <f>IF(I56="",설정!$B$2-J56,I56-J56)</f>
        <v/>
      </c>
      <c r="P56" s="6">
        <f>IF(O56&gt;14,IF(N56="처리중","기한초과","지연처리"),"")</f>
        <v/>
      </c>
    </row>
    <row r="57">
      <c r="A57" s="6" t="inlineStr">
        <is>
          <t>2026-0049</t>
        </is>
      </c>
      <c r="B57" s="7" t="n">
        <v>46297</v>
      </c>
      <c r="C57" s="6" t="inlineStr">
        <is>
          <t>박시우</t>
        </is>
      </c>
      <c r="D57" s="6" t="inlineStr">
        <is>
          <t>010-7818-3454</t>
        </is>
      </c>
      <c r="E57" s="6" t="inlineStr">
        <is>
          <t>대구광역시 동구 만촌동 50-30</t>
        </is>
      </c>
      <c r="F57" s="6" t="inlineStr">
        <is>
          <t>환경위생과</t>
        </is>
      </c>
      <c r="G57" s="6" t="inlineStr">
        <is>
          <t>악취 발생 민원</t>
        </is>
      </c>
      <c r="H57" s="6" t="inlineStr">
        <is>
          <t>완료</t>
        </is>
      </c>
      <c r="I57" s="7" t="n">
        <v>46302</v>
      </c>
      <c r="J57" s="7">
        <f>IF(ISNUMBER(B57),B57,DATE(VALUE(LEFT(B57,4)),VALUE(MID(B57,6,2)),VALUE(RIGHT(B57,2))))</f>
        <v/>
      </c>
      <c r="K57" s="6">
        <f>LEFT(SUBSTITUTE(SUBSTITUTE(D57,"-","")," ",""),3)&amp;"-"&amp;MID(SUBSTITUTE(SUBSTITUTE(D57,"-","")," ",""),4,4)&amp;"-"&amp;RIGHT(SUBSTITUTE(SUBSTITUTE(D57,"-","")," ",""),4)</f>
        <v/>
      </c>
      <c r="L57" s="6">
        <f>TRIM(MID(SUBSTITUTE(TRIM(E57)," ",REPT(" ",50)),51,50))</f>
        <v/>
      </c>
      <c r="M57" s="6">
        <f>SUBSTITUTE(F57," ","")</f>
        <v/>
      </c>
      <c r="N57" s="6">
        <f>TRIM(H57)</f>
        <v/>
      </c>
      <c r="O57" s="6">
        <f>IF(I57="",설정!$B$2-J57,I57-J57)</f>
        <v/>
      </c>
      <c r="P57" s="6">
        <f>IF(O57&gt;14,IF(N57="처리중","기한초과","지연처리"),"")</f>
        <v/>
      </c>
    </row>
    <row r="58">
      <c r="A58" s="6" t="inlineStr">
        <is>
          <t>2026-0050</t>
        </is>
      </c>
      <c r="B58" s="7" t="n">
        <v>46288</v>
      </c>
      <c r="C58" s="6" t="inlineStr">
        <is>
          <t>최준서</t>
        </is>
      </c>
      <c r="D58" s="6" t="inlineStr">
        <is>
          <t>010 4319 5130</t>
        </is>
      </c>
      <c r="E58" s="6" t="inlineStr">
        <is>
          <t xml:space="preserve">  대구광역시  북구 범어동 83-19</t>
        </is>
      </c>
      <c r="F58" s="6" t="inlineStr">
        <is>
          <t>교통행정과</t>
        </is>
      </c>
      <c r="G58" s="6" t="inlineStr">
        <is>
          <t>버스노선 조정 건의</t>
        </is>
      </c>
      <c r="H58" s="6" t="inlineStr">
        <is>
          <t>처리중</t>
        </is>
      </c>
      <c r="I58" s="7" t="n"/>
      <c r="J58" s="7">
        <f>IF(ISNUMBER(B58),B58,DATE(VALUE(LEFT(B58,4)),VALUE(MID(B58,6,2)),VALUE(RIGHT(B58,2))))</f>
        <v/>
      </c>
      <c r="K58" s="6">
        <f>LEFT(SUBSTITUTE(SUBSTITUTE(D58,"-","")," ",""),3)&amp;"-"&amp;MID(SUBSTITUTE(SUBSTITUTE(D58,"-","")," ",""),4,4)&amp;"-"&amp;RIGHT(SUBSTITUTE(SUBSTITUTE(D58,"-","")," ",""),4)</f>
        <v/>
      </c>
      <c r="L58" s="6">
        <f>TRIM(MID(SUBSTITUTE(TRIM(E58)," ",REPT(" ",50)),51,50))</f>
        <v/>
      </c>
      <c r="M58" s="6">
        <f>SUBSTITUTE(F58," ","")</f>
        <v/>
      </c>
      <c r="N58" s="6">
        <f>TRIM(H58)</f>
        <v/>
      </c>
      <c r="O58" s="6">
        <f>IF(I58="",설정!$B$2-J58,I58-J58)</f>
        <v/>
      </c>
      <c r="P58" s="6">
        <f>IF(O58&gt;14,IF(N58="처리중","기한초과","지연처리"),"")</f>
        <v/>
      </c>
    </row>
    <row r="59">
      <c r="A59" s="6" t="inlineStr">
        <is>
          <t>2026-0072</t>
        </is>
      </c>
      <c r="B59" s="7" t="n">
        <v>46301</v>
      </c>
      <c r="C59" s="6" t="inlineStr">
        <is>
          <t>이다은</t>
        </is>
      </c>
      <c r="D59" s="6" t="inlineStr">
        <is>
          <t>010-3276-3902</t>
        </is>
      </c>
      <c r="E59" s="6" t="inlineStr">
        <is>
          <t xml:space="preserve">  대구광역시  중구 상인동 453-16</t>
        </is>
      </c>
      <c r="F59" s="6" t="inlineStr">
        <is>
          <t>건축과</t>
        </is>
      </c>
      <c r="G59" s="6" t="inlineStr">
        <is>
          <t>불법 건축물 신고</t>
        </is>
      </c>
      <c r="H59" s="6" t="inlineStr">
        <is>
          <t>처리중</t>
        </is>
      </c>
      <c r="I59" s="7" t="n"/>
      <c r="J59" s="7">
        <f>IF(ISNUMBER(B59),B59,DATE(VALUE(LEFT(B59,4)),VALUE(MID(B59,6,2)),VALUE(RIGHT(B59,2))))</f>
        <v/>
      </c>
      <c r="K59" s="6">
        <f>LEFT(SUBSTITUTE(SUBSTITUTE(D59,"-","")," ",""),3)&amp;"-"&amp;MID(SUBSTITUTE(SUBSTITUTE(D59,"-","")," ",""),4,4)&amp;"-"&amp;RIGHT(SUBSTITUTE(SUBSTITUTE(D59,"-","")," ",""),4)</f>
        <v/>
      </c>
      <c r="L59" s="6">
        <f>TRIM(MID(SUBSTITUTE(TRIM(E59)," ",REPT(" ",50)),51,50))</f>
        <v/>
      </c>
      <c r="M59" s="6">
        <f>SUBSTITUTE(F59," ","")</f>
        <v/>
      </c>
      <c r="N59" s="6">
        <f>TRIM(H59)</f>
        <v/>
      </c>
      <c r="O59" s="6">
        <f>IF(I59="",설정!$B$2-J59,I59-J59)</f>
        <v/>
      </c>
      <c r="P59" s="6">
        <f>IF(O59&gt;14,IF(N59="처리중","기한초과","지연처리"),"")</f>
        <v/>
      </c>
    </row>
    <row r="60">
      <c r="A60" s="6" t="inlineStr">
        <is>
          <t>2026-0051</t>
        </is>
      </c>
      <c r="B60" s="6" t="inlineStr">
        <is>
          <t>2026.10.10</t>
        </is>
      </c>
      <c r="C60" s="6" t="inlineStr">
        <is>
          <t>박성민</t>
        </is>
      </c>
      <c r="D60" s="6" t="inlineStr">
        <is>
          <t>01048028205</t>
        </is>
      </c>
      <c r="E60" s="6" t="inlineStr">
        <is>
          <t>대구광역시 중구 상인동 173-18</t>
        </is>
      </c>
      <c r="F60" s="6" t="inlineStr">
        <is>
          <t>건축 과</t>
        </is>
      </c>
      <c r="G60" s="6" t="inlineStr">
        <is>
          <t>불법 건축물 신고</t>
        </is>
      </c>
      <c r="H60" s="6" t="inlineStr">
        <is>
          <t xml:space="preserve">완료 </t>
        </is>
      </c>
      <c r="I60" s="7" t="n">
        <v>46310</v>
      </c>
      <c r="J60" s="7">
        <f>IF(ISNUMBER(B60),B60,DATE(VALUE(LEFT(B60,4)),VALUE(MID(B60,6,2)),VALUE(RIGHT(B60,2))))</f>
        <v/>
      </c>
      <c r="K60" s="6">
        <f>LEFT(SUBSTITUTE(SUBSTITUTE(D60,"-","")," ",""),3)&amp;"-"&amp;MID(SUBSTITUTE(SUBSTITUTE(D60,"-","")," ",""),4,4)&amp;"-"&amp;RIGHT(SUBSTITUTE(SUBSTITUTE(D60,"-","")," ",""),4)</f>
        <v/>
      </c>
      <c r="L60" s="6">
        <f>TRIM(MID(SUBSTITUTE(TRIM(E60)," ",REPT(" ",50)),51,50))</f>
        <v/>
      </c>
      <c r="M60" s="6">
        <f>SUBSTITUTE(F60," ","")</f>
        <v/>
      </c>
      <c r="N60" s="6">
        <f>TRIM(H60)</f>
        <v/>
      </c>
      <c r="O60" s="6">
        <f>IF(I60="",설정!$B$2-J60,I60-J60)</f>
        <v/>
      </c>
      <c r="P60" s="6">
        <f>IF(O60&gt;14,IF(N60="처리중","기한초과","지연처리"),"")</f>
        <v/>
      </c>
    </row>
    <row r="61">
      <c r="A61" s="6" t="inlineStr">
        <is>
          <t>2026-0052</t>
        </is>
      </c>
      <c r="B61" s="7" t="n">
        <v>46312</v>
      </c>
      <c r="C61" s="6" t="inlineStr">
        <is>
          <t>신서연</t>
        </is>
      </c>
      <c r="D61" s="6" t="inlineStr">
        <is>
          <t>01093187140</t>
        </is>
      </c>
      <c r="E61" s="6" t="inlineStr">
        <is>
          <t>대구광역시 서구 지산동 708-8</t>
        </is>
      </c>
      <c r="F61" s="6" t="inlineStr">
        <is>
          <t>복지정책과</t>
        </is>
      </c>
      <c r="G61" s="6" t="inlineStr">
        <is>
          <t>노인돌봄서비스 신청 문의</t>
        </is>
      </c>
      <c r="H61" s="6" t="inlineStr">
        <is>
          <t>처리중</t>
        </is>
      </c>
      <c r="I61" s="7" t="n"/>
      <c r="J61" s="7">
        <f>IF(ISNUMBER(B61),B61,DATE(VALUE(LEFT(B61,4)),VALUE(MID(B61,6,2)),VALUE(RIGHT(B61,2))))</f>
        <v/>
      </c>
      <c r="K61" s="6">
        <f>LEFT(SUBSTITUTE(SUBSTITUTE(D61,"-","")," ",""),3)&amp;"-"&amp;MID(SUBSTITUTE(SUBSTITUTE(D61,"-","")," ",""),4,4)&amp;"-"&amp;RIGHT(SUBSTITUTE(SUBSTITUTE(D61,"-","")," ",""),4)</f>
        <v/>
      </c>
      <c r="L61" s="6">
        <f>TRIM(MID(SUBSTITUTE(TRIM(E61)," ",REPT(" ",50)),51,50))</f>
        <v/>
      </c>
      <c r="M61" s="6">
        <f>SUBSTITUTE(F61," ","")</f>
        <v/>
      </c>
      <c r="N61" s="6">
        <f>TRIM(H61)</f>
        <v/>
      </c>
      <c r="O61" s="6">
        <f>IF(I61="",설정!$B$2-J61,I61-J61)</f>
        <v/>
      </c>
      <c r="P61" s="6">
        <f>IF(O61&gt;14,IF(N61="처리중","기한초과","지연처리"),"")</f>
        <v/>
      </c>
    </row>
    <row r="62">
      <c r="A62" s="6" t="inlineStr">
        <is>
          <t>2026-0053</t>
        </is>
      </c>
      <c r="B62" s="6" t="inlineStr">
        <is>
          <t>2026.09.16</t>
        </is>
      </c>
      <c r="C62" s="6" t="inlineStr">
        <is>
          <t>권가영</t>
        </is>
      </c>
      <c r="D62" s="6" t="inlineStr">
        <is>
          <t>010-9392-9344</t>
        </is>
      </c>
      <c r="E62" s="6" t="inlineStr">
        <is>
          <t>대구광역시 중구 침산동 17-16</t>
        </is>
      </c>
      <c r="F62" s="6" t="inlineStr">
        <is>
          <t>교통행정과</t>
        </is>
      </c>
      <c r="G62" s="6" t="inlineStr">
        <is>
          <t>불법주정차 신고</t>
        </is>
      </c>
      <c r="H62" s="6" t="inlineStr">
        <is>
          <t xml:space="preserve">완료 </t>
        </is>
      </c>
      <c r="I62" s="7" t="n">
        <v>46288</v>
      </c>
      <c r="J62" s="7">
        <f>IF(ISNUMBER(B62),B62,DATE(VALUE(LEFT(B62,4)),VALUE(MID(B62,6,2)),VALUE(RIGHT(B62,2))))</f>
        <v/>
      </c>
      <c r="K62" s="6">
        <f>LEFT(SUBSTITUTE(SUBSTITUTE(D62,"-","")," ",""),3)&amp;"-"&amp;MID(SUBSTITUTE(SUBSTITUTE(D62,"-","")," ",""),4,4)&amp;"-"&amp;RIGHT(SUBSTITUTE(SUBSTITUTE(D62,"-","")," ",""),4)</f>
        <v/>
      </c>
      <c r="L62" s="6">
        <f>TRIM(MID(SUBSTITUTE(TRIM(E62)," ",REPT(" ",50)),51,50))</f>
        <v/>
      </c>
      <c r="M62" s="6">
        <f>SUBSTITUTE(F62," ","")</f>
        <v/>
      </c>
      <c r="N62" s="6">
        <f>TRIM(H62)</f>
        <v/>
      </c>
      <c r="O62" s="6">
        <f>IF(I62="",설정!$B$2-J62,I62-J62)</f>
        <v/>
      </c>
      <c r="P62" s="6">
        <f>IF(O62&gt;14,IF(N62="처리중","기한초과","지연처리"),"")</f>
        <v/>
      </c>
    </row>
    <row r="63">
      <c r="A63" s="6" t="inlineStr">
        <is>
          <t>2026-0054</t>
        </is>
      </c>
      <c r="B63" s="7" t="n">
        <v>46284</v>
      </c>
      <c r="C63" s="6" t="inlineStr">
        <is>
          <t>류채원</t>
        </is>
      </c>
      <c r="D63" s="6" t="inlineStr">
        <is>
          <t>010 8794 3072</t>
        </is>
      </c>
      <c r="E63" s="6" t="inlineStr">
        <is>
          <t>대구광역시 동구 범어동 362-20</t>
        </is>
      </c>
      <c r="F63" s="6" t="inlineStr">
        <is>
          <t>환경 위생과</t>
        </is>
      </c>
      <c r="G63" s="6" t="inlineStr">
        <is>
          <t>생활쓰레기 무단투기 민원</t>
        </is>
      </c>
      <c r="H63" s="6" t="inlineStr">
        <is>
          <t>처리중</t>
        </is>
      </c>
      <c r="I63" s="7" t="n"/>
      <c r="J63" s="7">
        <f>IF(ISNUMBER(B63),B63,DATE(VALUE(LEFT(B63,4)),VALUE(MID(B63,6,2)),VALUE(RIGHT(B63,2))))</f>
        <v/>
      </c>
      <c r="K63" s="6">
        <f>LEFT(SUBSTITUTE(SUBSTITUTE(D63,"-","")," ",""),3)&amp;"-"&amp;MID(SUBSTITUTE(SUBSTITUTE(D63,"-","")," ",""),4,4)&amp;"-"&amp;RIGHT(SUBSTITUTE(SUBSTITUTE(D63,"-","")," ",""),4)</f>
        <v/>
      </c>
      <c r="L63" s="6">
        <f>TRIM(MID(SUBSTITUTE(TRIM(E63)," ",REPT(" ",50)),51,50))</f>
        <v/>
      </c>
      <c r="M63" s="6">
        <f>SUBSTITUTE(F63," ","")</f>
        <v/>
      </c>
      <c r="N63" s="6">
        <f>TRIM(H63)</f>
        <v/>
      </c>
      <c r="O63" s="6">
        <f>IF(I63="",설정!$B$2-J63,I63-J63)</f>
        <v/>
      </c>
      <c r="P63" s="6">
        <f>IF(O63&gt;14,IF(N63="처리중","기한초과","지연처리"),"")</f>
        <v/>
      </c>
    </row>
    <row r="64">
      <c r="A64" s="6" t="inlineStr">
        <is>
          <t>2026-0055</t>
        </is>
      </c>
      <c r="B64" s="7" t="n">
        <v>46303</v>
      </c>
      <c r="C64" s="6" t="inlineStr">
        <is>
          <t>오도윤</t>
        </is>
      </c>
      <c r="D64" s="6" t="inlineStr">
        <is>
          <t>010 4490 6099</t>
        </is>
      </c>
      <c r="E64" s="6" t="inlineStr">
        <is>
          <t xml:space="preserve">  대구광역시  중구 대명동 6-8</t>
        </is>
      </c>
      <c r="F64" s="6" t="inlineStr">
        <is>
          <t xml:space="preserve">도로과 </t>
        </is>
      </c>
      <c r="G64" s="6" t="inlineStr">
        <is>
          <t>가로등 고장 신고</t>
        </is>
      </c>
      <c r="H64" s="6" t="inlineStr">
        <is>
          <t>완료</t>
        </is>
      </c>
      <c r="I64" s="7" t="n">
        <v>46318</v>
      </c>
      <c r="J64" s="7">
        <f>IF(ISNUMBER(B64),B64,DATE(VALUE(LEFT(B64,4)),VALUE(MID(B64,6,2)),VALUE(RIGHT(B64,2))))</f>
        <v/>
      </c>
      <c r="K64" s="6">
        <f>LEFT(SUBSTITUTE(SUBSTITUTE(D64,"-","")," ",""),3)&amp;"-"&amp;MID(SUBSTITUTE(SUBSTITUTE(D64,"-","")," ",""),4,4)&amp;"-"&amp;RIGHT(SUBSTITUTE(SUBSTITUTE(D64,"-","")," ",""),4)</f>
        <v/>
      </c>
      <c r="L64" s="6">
        <f>TRIM(MID(SUBSTITUTE(TRIM(E64)," ",REPT(" ",50)),51,50))</f>
        <v/>
      </c>
      <c r="M64" s="6">
        <f>SUBSTITUTE(F64," ","")</f>
        <v/>
      </c>
      <c r="N64" s="6">
        <f>TRIM(H64)</f>
        <v/>
      </c>
      <c r="O64" s="6">
        <f>IF(I64="",설정!$B$2-J64,I64-J64)</f>
        <v/>
      </c>
      <c r="P64" s="6">
        <f>IF(O64&gt;14,IF(N64="처리중","기한초과","지연처리"),"")</f>
        <v/>
      </c>
    </row>
    <row r="65">
      <c r="A65" s="6" t="inlineStr">
        <is>
          <t>2026-0056</t>
        </is>
      </c>
      <c r="B65" s="6" t="inlineStr">
        <is>
          <t>2026.09.11</t>
        </is>
      </c>
      <c r="C65" s="6" t="inlineStr">
        <is>
          <t>안승현</t>
        </is>
      </c>
      <c r="D65" s="6" t="inlineStr">
        <is>
          <t>010 4552 7561</t>
        </is>
      </c>
      <c r="E65" s="6" t="inlineStr">
        <is>
          <t>대구광역시 동구 범어동 365-29</t>
        </is>
      </c>
      <c r="F65" s="6" t="inlineStr">
        <is>
          <t>도로과</t>
        </is>
      </c>
      <c r="G65" s="6" t="inlineStr">
        <is>
          <t>도로 파손(포트홀) 신고</t>
        </is>
      </c>
      <c r="H65" s="6" t="inlineStr">
        <is>
          <t>완료</t>
        </is>
      </c>
      <c r="I65" s="7" t="n">
        <v>46297</v>
      </c>
      <c r="J65" s="7">
        <f>IF(ISNUMBER(B65),B65,DATE(VALUE(LEFT(B65,4)),VALUE(MID(B65,6,2)),VALUE(RIGHT(B65,2))))</f>
        <v/>
      </c>
      <c r="K65" s="6">
        <f>LEFT(SUBSTITUTE(SUBSTITUTE(D65,"-","")," ",""),3)&amp;"-"&amp;MID(SUBSTITUTE(SUBSTITUTE(D65,"-","")," ",""),4,4)&amp;"-"&amp;RIGHT(SUBSTITUTE(SUBSTITUTE(D65,"-","")," ",""),4)</f>
        <v/>
      </c>
      <c r="L65" s="6">
        <f>TRIM(MID(SUBSTITUTE(TRIM(E65)," ",REPT(" ",50)),51,50))</f>
        <v/>
      </c>
      <c r="M65" s="6">
        <f>SUBSTITUTE(F65," ","")</f>
        <v/>
      </c>
      <c r="N65" s="6">
        <f>TRIM(H65)</f>
        <v/>
      </c>
      <c r="O65" s="6">
        <f>IF(I65="",설정!$B$2-J65,I65-J65)</f>
        <v/>
      </c>
      <c r="P65" s="6">
        <f>IF(O65&gt;14,IF(N65="처리중","기한초과","지연처리"),"")</f>
        <v/>
      </c>
    </row>
    <row r="66">
      <c r="A66" s="6" t="inlineStr">
        <is>
          <t>2026-0057</t>
        </is>
      </c>
      <c r="B66" s="7" t="n">
        <v>46278</v>
      </c>
      <c r="C66" s="6" t="inlineStr">
        <is>
          <t>장도윤</t>
        </is>
      </c>
      <c r="D66" s="6" t="inlineStr">
        <is>
          <t>01069099626</t>
        </is>
      </c>
      <c r="E66" s="6" t="inlineStr">
        <is>
          <t xml:space="preserve">  대구광역시  서구 상인동 286-7</t>
        </is>
      </c>
      <c r="F66" s="6" t="inlineStr">
        <is>
          <t>민원봉사과</t>
        </is>
      </c>
      <c r="G66" s="6" t="inlineStr">
        <is>
          <t>증명서 발급 문의</t>
        </is>
      </c>
      <c r="H66" s="6" t="inlineStr">
        <is>
          <t xml:space="preserve">처리중 </t>
        </is>
      </c>
      <c r="I66" s="7" t="n"/>
      <c r="J66" s="7">
        <f>IF(ISNUMBER(B66),B66,DATE(VALUE(LEFT(B66,4)),VALUE(MID(B66,6,2)),VALUE(RIGHT(B66,2))))</f>
        <v/>
      </c>
      <c r="K66" s="6">
        <f>LEFT(SUBSTITUTE(SUBSTITUTE(D66,"-","")," ",""),3)&amp;"-"&amp;MID(SUBSTITUTE(SUBSTITUTE(D66,"-","")," ",""),4,4)&amp;"-"&amp;RIGHT(SUBSTITUTE(SUBSTITUTE(D66,"-","")," ",""),4)</f>
        <v/>
      </c>
      <c r="L66" s="6">
        <f>TRIM(MID(SUBSTITUTE(TRIM(E66)," ",REPT(" ",50)),51,50))</f>
        <v/>
      </c>
      <c r="M66" s="6">
        <f>SUBSTITUTE(F66," ","")</f>
        <v/>
      </c>
      <c r="N66" s="6">
        <f>TRIM(H66)</f>
        <v/>
      </c>
      <c r="O66" s="6">
        <f>IF(I66="",설정!$B$2-J66,I66-J66)</f>
        <v/>
      </c>
      <c r="P66" s="6">
        <f>IF(O66&gt;14,IF(N66="처리중","기한초과","지연처리"),"")</f>
        <v/>
      </c>
    </row>
    <row r="67">
      <c r="A67" s="6" t="inlineStr">
        <is>
          <t>2026-0058</t>
        </is>
      </c>
      <c r="B67" s="7" t="n">
        <v>46301</v>
      </c>
      <c r="C67" s="6" t="inlineStr">
        <is>
          <t>송도윤</t>
        </is>
      </c>
      <c r="D67" s="6" t="inlineStr">
        <is>
          <t>010-3714-3479</t>
        </is>
      </c>
      <c r="E67" s="6" t="inlineStr">
        <is>
          <t xml:space="preserve">  대구광역시  달서구 침산동 403-15</t>
        </is>
      </c>
      <c r="F67" s="6" t="inlineStr">
        <is>
          <t>민원 봉사과</t>
        </is>
      </c>
      <c r="G67" s="6" t="inlineStr">
        <is>
          <t>민원실 이용 불편 건의</t>
        </is>
      </c>
      <c r="H67" s="6" t="inlineStr">
        <is>
          <t>완료</t>
        </is>
      </c>
      <c r="I67" s="7" t="n">
        <v>46319</v>
      </c>
      <c r="J67" s="7">
        <f>IF(ISNUMBER(B67),B67,DATE(VALUE(LEFT(B67,4)),VALUE(MID(B67,6,2)),VALUE(RIGHT(B67,2))))</f>
        <v/>
      </c>
      <c r="K67" s="6">
        <f>LEFT(SUBSTITUTE(SUBSTITUTE(D67,"-","")," ",""),3)&amp;"-"&amp;MID(SUBSTITUTE(SUBSTITUTE(D67,"-","")," ",""),4,4)&amp;"-"&amp;RIGHT(SUBSTITUTE(SUBSTITUTE(D67,"-","")," ",""),4)</f>
        <v/>
      </c>
      <c r="L67" s="6">
        <f>TRIM(MID(SUBSTITUTE(TRIM(E67)," ",REPT(" ",50)),51,50))</f>
        <v/>
      </c>
      <c r="M67" s="6">
        <f>SUBSTITUTE(F67," ","")</f>
        <v/>
      </c>
      <c r="N67" s="6">
        <f>TRIM(H67)</f>
        <v/>
      </c>
      <c r="O67" s="6">
        <f>IF(I67="",설정!$B$2-J67,I67-J67)</f>
        <v/>
      </c>
      <c r="P67" s="6">
        <f>IF(O67&gt;14,IF(N67="처리중","기한초과","지연처리"),"")</f>
        <v/>
      </c>
    </row>
    <row r="68">
      <c r="A68" s="6" t="inlineStr">
        <is>
          <t>2026-0059</t>
        </is>
      </c>
      <c r="B68" s="7" t="n">
        <v>46309</v>
      </c>
      <c r="C68" s="6" t="inlineStr">
        <is>
          <t>박은지</t>
        </is>
      </c>
      <c r="D68" s="6" t="inlineStr">
        <is>
          <t>010-5675-8096</t>
        </is>
      </c>
      <c r="E68" s="6" t="inlineStr">
        <is>
          <t>대구광역시 북구 대명동 286-21</t>
        </is>
      </c>
      <c r="F68" s="6" t="inlineStr">
        <is>
          <t>교통행정과</t>
        </is>
      </c>
      <c r="G68" s="6" t="inlineStr">
        <is>
          <t>불법주정차 신고</t>
        </is>
      </c>
      <c r="H68" s="6" t="inlineStr">
        <is>
          <t xml:space="preserve">완료 </t>
        </is>
      </c>
      <c r="I68" s="7" t="n">
        <v>46317</v>
      </c>
      <c r="J68" s="7">
        <f>IF(ISNUMBER(B68),B68,DATE(VALUE(LEFT(B68,4)),VALUE(MID(B68,6,2)),VALUE(RIGHT(B68,2))))</f>
        <v/>
      </c>
      <c r="K68" s="6">
        <f>LEFT(SUBSTITUTE(SUBSTITUTE(D68,"-","")," ",""),3)&amp;"-"&amp;MID(SUBSTITUTE(SUBSTITUTE(D68,"-","")," ",""),4,4)&amp;"-"&amp;RIGHT(SUBSTITUTE(SUBSTITUTE(D68,"-","")," ",""),4)</f>
        <v/>
      </c>
      <c r="L68" s="6">
        <f>TRIM(MID(SUBSTITUTE(TRIM(E68)," ",REPT(" ",50)),51,50))</f>
        <v/>
      </c>
      <c r="M68" s="6">
        <f>SUBSTITUTE(F68," ","")</f>
        <v/>
      </c>
      <c r="N68" s="6">
        <f>TRIM(H68)</f>
        <v/>
      </c>
      <c r="O68" s="6">
        <f>IF(I68="",설정!$B$2-J68,I68-J68)</f>
        <v/>
      </c>
      <c r="P68" s="6">
        <f>IF(O68&gt;14,IF(N68="처리중","기한초과","지연처리"),"")</f>
        <v/>
      </c>
    </row>
    <row r="69">
      <c r="A69" s="6" t="inlineStr">
        <is>
          <t>2026-0060</t>
        </is>
      </c>
      <c r="B69" s="6" t="inlineStr">
        <is>
          <t>2026.10.07</t>
        </is>
      </c>
      <c r="C69" s="6" t="inlineStr">
        <is>
          <t>박재현</t>
        </is>
      </c>
      <c r="D69" s="6" t="inlineStr">
        <is>
          <t>010 9366 7615</t>
        </is>
      </c>
      <c r="E69" s="6" t="inlineStr">
        <is>
          <t>대구광역시 달서구 내당동 180-16</t>
        </is>
      </c>
      <c r="F69" s="6" t="inlineStr">
        <is>
          <t>교통 행정과</t>
        </is>
      </c>
      <c r="G69" s="6" t="inlineStr">
        <is>
          <t>버스노선 조정 건의</t>
        </is>
      </c>
      <c r="H69" s="6" t="inlineStr">
        <is>
          <t>처리중</t>
        </is>
      </c>
      <c r="I69" s="7" t="n"/>
      <c r="J69" s="7">
        <f>IF(ISNUMBER(B69),B69,DATE(VALUE(LEFT(B69,4)),VALUE(MID(B69,6,2)),VALUE(RIGHT(B69,2))))</f>
        <v/>
      </c>
      <c r="K69" s="6">
        <f>LEFT(SUBSTITUTE(SUBSTITUTE(D69,"-","")," ",""),3)&amp;"-"&amp;MID(SUBSTITUTE(SUBSTITUTE(D69,"-","")," ",""),4,4)&amp;"-"&amp;RIGHT(SUBSTITUTE(SUBSTITUTE(D69,"-","")," ",""),4)</f>
        <v/>
      </c>
      <c r="L69" s="6">
        <f>TRIM(MID(SUBSTITUTE(TRIM(E69)," ",REPT(" ",50)),51,50))</f>
        <v/>
      </c>
      <c r="M69" s="6">
        <f>SUBSTITUTE(F69," ","")</f>
        <v/>
      </c>
      <c r="N69" s="6">
        <f>TRIM(H69)</f>
        <v/>
      </c>
      <c r="O69" s="6">
        <f>IF(I69="",설정!$B$2-J69,I69-J69)</f>
        <v/>
      </c>
      <c r="P69" s="6">
        <f>IF(O69&gt;14,IF(N69="처리중","기한초과","지연처리"),"")</f>
        <v/>
      </c>
    </row>
    <row r="70">
      <c r="A70" s="6" t="inlineStr">
        <is>
          <t>2026-0061</t>
        </is>
      </c>
      <c r="B70" s="7" t="n">
        <v>46306</v>
      </c>
      <c r="C70" s="6" t="inlineStr">
        <is>
          <t>임나연</t>
        </is>
      </c>
      <c r="D70" s="6" t="inlineStr">
        <is>
          <t>01077776503</t>
        </is>
      </c>
      <c r="E70" s="6" t="inlineStr">
        <is>
          <t>대구광역시 서구 만촌동 22-21</t>
        </is>
      </c>
      <c r="F70" s="6" t="inlineStr">
        <is>
          <t>건축 과</t>
        </is>
      </c>
      <c r="G70" s="6" t="inlineStr">
        <is>
          <t>불법 건축물 신고</t>
        </is>
      </c>
      <c r="H70" s="6" t="inlineStr">
        <is>
          <t>처리중</t>
        </is>
      </c>
      <c r="I70" s="7" t="n"/>
      <c r="J70" s="7">
        <f>IF(ISNUMBER(B70),B70,DATE(VALUE(LEFT(B70,4)),VALUE(MID(B70,6,2)),VALUE(RIGHT(B70,2))))</f>
        <v/>
      </c>
      <c r="K70" s="6">
        <f>LEFT(SUBSTITUTE(SUBSTITUTE(D70,"-","")," ",""),3)&amp;"-"&amp;MID(SUBSTITUTE(SUBSTITUTE(D70,"-","")," ",""),4,4)&amp;"-"&amp;RIGHT(SUBSTITUTE(SUBSTITUTE(D70,"-","")," ",""),4)</f>
        <v/>
      </c>
      <c r="L70" s="6">
        <f>TRIM(MID(SUBSTITUTE(TRIM(E70)," ",REPT(" ",50)),51,50))</f>
        <v/>
      </c>
      <c r="M70" s="6">
        <f>SUBSTITUTE(F70," ","")</f>
        <v/>
      </c>
      <c r="N70" s="6">
        <f>TRIM(H70)</f>
        <v/>
      </c>
      <c r="O70" s="6">
        <f>IF(I70="",설정!$B$2-J70,I70-J70)</f>
        <v/>
      </c>
      <c r="P70" s="6">
        <f>IF(O70&gt;14,IF(N70="처리중","기한초과","지연처리"),"")</f>
        <v/>
      </c>
    </row>
    <row r="71">
      <c r="A71" s="6" t="inlineStr">
        <is>
          <t>2026-0062</t>
        </is>
      </c>
      <c r="B71" s="7" t="n">
        <v>46285</v>
      </c>
      <c r="C71" s="6" t="inlineStr">
        <is>
          <t>안세아</t>
        </is>
      </c>
      <c r="D71" s="6" t="inlineStr">
        <is>
          <t>010-5355-7996</t>
        </is>
      </c>
      <c r="E71" s="6" t="inlineStr">
        <is>
          <t>대구광역시 동구 상인동 249-22</t>
        </is>
      </c>
      <c r="F71" s="6" t="inlineStr">
        <is>
          <t>민원봉사과</t>
        </is>
      </c>
      <c r="G71" s="6" t="inlineStr">
        <is>
          <t>민원실 이용 불편 건의</t>
        </is>
      </c>
      <c r="H71" s="6" t="inlineStr">
        <is>
          <t>완료</t>
        </is>
      </c>
      <c r="I71" s="7" t="n">
        <v>46286</v>
      </c>
      <c r="J71" s="7">
        <f>IF(ISNUMBER(B71),B71,DATE(VALUE(LEFT(B71,4)),VALUE(MID(B71,6,2)),VALUE(RIGHT(B71,2))))</f>
        <v/>
      </c>
      <c r="K71" s="6">
        <f>LEFT(SUBSTITUTE(SUBSTITUTE(D71,"-","")," ",""),3)&amp;"-"&amp;MID(SUBSTITUTE(SUBSTITUTE(D71,"-","")," ",""),4,4)&amp;"-"&amp;RIGHT(SUBSTITUTE(SUBSTITUTE(D71,"-","")," ",""),4)</f>
        <v/>
      </c>
      <c r="L71" s="6">
        <f>TRIM(MID(SUBSTITUTE(TRIM(E71)," ",REPT(" ",50)),51,50))</f>
        <v/>
      </c>
      <c r="M71" s="6">
        <f>SUBSTITUTE(F71," ","")</f>
        <v/>
      </c>
      <c r="N71" s="6">
        <f>TRIM(H71)</f>
        <v/>
      </c>
      <c r="O71" s="6">
        <f>IF(I71="",설정!$B$2-J71,I71-J71)</f>
        <v/>
      </c>
      <c r="P71" s="6">
        <f>IF(O71&gt;14,IF(N71="처리중","기한초과","지연처리"),"")</f>
        <v/>
      </c>
    </row>
    <row r="72">
      <c r="A72" s="6" t="inlineStr">
        <is>
          <t>2026-0063</t>
        </is>
      </c>
      <c r="B72" s="7" t="n">
        <v>46273</v>
      </c>
      <c r="C72" s="6" t="inlineStr">
        <is>
          <t>류하은</t>
        </is>
      </c>
      <c r="D72" s="6" t="inlineStr">
        <is>
          <t>010-4981-5022</t>
        </is>
      </c>
      <c r="E72" s="6" t="inlineStr">
        <is>
          <t>대구광역시 북구 범어동 455-20</t>
        </is>
      </c>
      <c r="F72" s="6" t="inlineStr">
        <is>
          <t>도로 과</t>
        </is>
      </c>
      <c r="G72" s="6" t="inlineStr">
        <is>
          <t>도로 파손(포트홀) 신고</t>
        </is>
      </c>
      <c r="H72" s="6" t="inlineStr">
        <is>
          <t>완료</t>
        </is>
      </c>
      <c r="I72" s="7" t="n">
        <v>46293</v>
      </c>
      <c r="J72" s="7">
        <f>IF(ISNUMBER(B72),B72,DATE(VALUE(LEFT(B72,4)),VALUE(MID(B72,6,2)),VALUE(RIGHT(B72,2))))</f>
        <v/>
      </c>
      <c r="K72" s="6">
        <f>LEFT(SUBSTITUTE(SUBSTITUTE(D72,"-","")," ",""),3)&amp;"-"&amp;MID(SUBSTITUTE(SUBSTITUTE(D72,"-","")," ",""),4,4)&amp;"-"&amp;RIGHT(SUBSTITUTE(SUBSTITUTE(D72,"-","")," ",""),4)</f>
        <v/>
      </c>
      <c r="L72" s="6">
        <f>TRIM(MID(SUBSTITUTE(TRIM(E72)," ",REPT(" ",50)),51,50))</f>
        <v/>
      </c>
      <c r="M72" s="6">
        <f>SUBSTITUTE(F72," ","")</f>
        <v/>
      </c>
      <c r="N72" s="6">
        <f>TRIM(H72)</f>
        <v/>
      </c>
      <c r="O72" s="6">
        <f>IF(I72="",설정!$B$2-J72,I72-J72)</f>
        <v/>
      </c>
      <c r="P72" s="6">
        <f>IF(O72&gt;14,IF(N72="처리중","기한초과","지연처리"),"")</f>
        <v/>
      </c>
    </row>
    <row r="73">
      <c r="A73" s="6" t="inlineStr">
        <is>
          <t>2026-0064</t>
        </is>
      </c>
      <c r="B73" s="6" t="inlineStr">
        <is>
          <t>2026.09.15</t>
        </is>
      </c>
      <c r="C73" s="6" t="inlineStr">
        <is>
          <t>강하은</t>
        </is>
      </c>
      <c r="D73" s="6" t="inlineStr">
        <is>
          <t>010-6673-6978</t>
        </is>
      </c>
      <c r="E73" s="6" t="inlineStr">
        <is>
          <t>대구광역시 중구 신암동 257-15</t>
        </is>
      </c>
      <c r="F73" s="6" t="inlineStr">
        <is>
          <t>복지정책과</t>
        </is>
      </c>
      <c r="G73" s="6" t="inlineStr">
        <is>
          <t>기초생활수급 상담</t>
        </is>
      </c>
      <c r="H73" s="6" t="inlineStr">
        <is>
          <t>완료</t>
        </is>
      </c>
      <c r="I73" s="7" t="n">
        <v>46283</v>
      </c>
      <c r="J73" s="7">
        <f>IF(ISNUMBER(B73),B73,DATE(VALUE(LEFT(B73,4)),VALUE(MID(B73,6,2)),VALUE(RIGHT(B73,2))))</f>
        <v/>
      </c>
      <c r="K73" s="6">
        <f>LEFT(SUBSTITUTE(SUBSTITUTE(D73,"-","")," ",""),3)&amp;"-"&amp;MID(SUBSTITUTE(SUBSTITUTE(D73,"-","")," ",""),4,4)&amp;"-"&amp;RIGHT(SUBSTITUTE(SUBSTITUTE(D73,"-","")," ",""),4)</f>
        <v/>
      </c>
      <c r="L73" s="6">
        <f>TRIM(MID(SUBSTITUTE(TRIM(E73)," ",REPT(" ",50)),51,50))</f>
        <v/>
      </c>
      <c r="M73" s="6">
        <f>SUBSTITUTE(F73," ","")</f>
        <v/>
      </c>
      <c r="N73" s="6">
        <f>TRIM(H73)</f>
        <v/>
      </c>
      <c r="O73" s="6">
        <f>IF(I73="",설정!$B$2-J73,I73-J73)</f>
        <v/>
      </c>
      <c r="P73" s="6">
        <f>IF(O73&gt;14,IF(N73="처리중","기한초과","지연처리"),"")</f>
        <v/>
      </c>
    </row>
    <row r="74">
      <c r="A74" s="6" t="inlineStr">
        <is>
          <t>2026-0065</t>
        </is>
      </c>
      <c r="B74" s="6" t="inlineStr">
        <is>
          <t>2026.09.14</t>
        </is>
      </c>
      <c r="C74" s="6" t="inlineStr">
        <is>
          <t>송준서</t>
        </is>
      </c>
      <c r="D74" s="6" t="inlineStr">
        <is>
          <t>01084139542</t>
        </is>
      </c>
      <c r="E74" s="6" t="inlineStr">
        <is>
          <t xml:space="preserve">  대구광역시  서구 내당동 170-26</t>
        </is>
      </c>
      <c r="F74" s="6" t="inlineStr">
        <is>
          <t>환경위생과</t>
        </is>
      </c>
      <c r="G74" s="6" t="inlineStr">
        <is>
          <t>생활쓰레기 무단투기 민원</t>
        </is>
      </c>
      <c r="H74" s="6" t="inlineStr">
        <is>
          <t>이관</t>
        </is>
      </c>
      <c r="I74" s="7" t="n">
        <v>46289</v>
      </c>
      <c r="J74" s="7">
        <f>IF(ISNUMBER(B74),B74,DATE(VALUE(LEFT(B74,4)),VALUE(MID(B74,6,2)),VALUE(RIGHT(B74,2))))</f>
        <v/>
      </c>
      <c r="K74" s="6">
        <f>LEFT(SUBSTITUTE(SUBSTITUTE(D74,"-","")," ",""),3)&amp;"-"&amp;MID(SUBSTITUTE(SUBSTITUTE(D74,"-","")," ",""),4,4)&amp;"-"&amp;RIGHT(SUBSTITUTE(SUBSTITUTE(D74,"-","")," ",""),4)</f>
        <v/>
      </c>
      <c r="L74" s="6">
        <f>TRIM(MID(SUBSTITUTE(TRIM(E74)," ",REPT(" ",50)),51,50))</f>
        <v/>
      </c>
      <c r="M74" s="6">
        <f>SUBSTITUTE(F74," ","")</f>
        <v/>
      </c>
      <c r="N74" s="6">
        <f>TRIM(H74)</f>
        <v/>
      </c>
      <c r="O74" s="6">
        <f>IF(I74="",설정!$B$2-J74,I74-J74)</f>
        <v/>
      </c>
      <c r="P74" s="6">
        <f>IF(O74&gt;14,IF(N74="처리중","기한초과","지연처리"),"")</f>
        <v/>
      </c>
    </row>
    <row r="75">
      <c r="A75" s="6" t="inlineStr">
        <is>
          <t>2026-0066</t>
        </is>
      </c>
      <c r="B75" s="7" t="n">
        <v>46305</v>
      </c>
      <c r="C75" s="6" t="inlineStr">
        <is>
          <t>조서윤</t>
        </is>
      </c>
      <c r="D75" s="6" t="inlineStr">
        <is>
          <t>010-8073-9203</t>
        </is>
      </c>
      <c r="E75" s="6" t="inlineStr">
        <is>
          <t>대구광역시 북구 지산동 249-6</t>
        </is>
      </c>
      <c r="F75" s="6" t="inlineStr">
        <is>
          <t>교통 행정과</t>
        </is>
      </c>
      <c r="G75" s="6" t="inlineStr">
        <is>
          <t>불법주정차 신고</t>
        </is>
      </c>
      <c r="H75" s="6" t="inlineStr">
        <is>
          <t>완료</t>
        </is>
      </c>
      <c r="I75" s="7" t="n">
        <v>46323</v>
      </c>
      <c r="J75" s="7">
        <f>IF(ISNUMBER(B75),B75,DATE(VALUE(LEFT(B75,4)),VALUE(MID(B75,6,2)),VALUE(RIGHT(B75,2))))</f>
        <v/>
      </c>
      <c r="K75" s="6">
        <f>LEFT(SUBSTITUTE(SUBSTITUTE(D75,"-","")," ",""),3)&amp;"-"&amp;MID(SUBSTITUTE(SUBSTITUTE(D75,"-","")," ",""),4,4)&amp;"-"&amp;RIGHT(SUBSTITUTE(SUBSTITUTE(D75,"-","")," ",""),4)</f>
        <v/>
      </c>
      <c r="L75" s="6">
        <f>TRIM(MID(SUBSTITUTE(TRIM(E75)," ",REPT(" ",50)),51,50))</f>
        <v/>
      </c>
      <c r="M75" s="6">
        <f>SUBSTITUTE(F75," ","")</f>
        <v/>
      </c>
      <c r="N75" s="6">
        <f>TRIM(H75)</f>
        <v/>
      </c>
      <c r="O75" s="6">
        <f>IF(I75="",설정!$B$2-J75,I75-J75)</f>
        <v/>
      </c>
      <c r="P75" s="6">
        <f>IF(O75&gt;14,IF(N75="처리중","기한초과","지연처리"),"")</f>
        <v/>
      </c>
    </row>
    <row r="76">
      <c r="A76" s="6" t="inlineStr">
        <is>
          <t>2026-0067</t>
        </is>
      </c>
      <c r="B76" s="6" t="inlineStr">
        <is>
          <t>2026.09.28</t>
        </is>
      </c>
      <c r="C76" s="6" t="inlineStr">
        <is>
          <t>신지우</t>
        </is>
      </c>
      <c r="D76" s="6" t="inlineStr">
        <is>
          <t>010-9669-2237</t>
        </is>
      </c>
      <c r="E76" s="6" t="inlineStr">
        <is>
          <t>대구광역시 동구 신암동 756-2</t>
        </is>
      </c>
      <c r="F76" s="6" t="inlineStr">
        <is>
          <t>민원봉사과</t>
        </is>
      </c>
      <c r="G76" s="6" t="inlineStr">
        <is>
          <t>민원실 이용 불편 건의</t>
        </is>
      </c>
      <c r="H76" s="6" t="inlineStr">
        <is>
          <t>완료</t>
        </is>
      </c>
      <c r="I76" s="7" t="n">
        <v>46308</v>
      </c>
      <c r="J76" s="7">
        <f>IF(ISNUMBER(B76),B76,DATE(VALUE(LEFT(B76,4)),VALUE(MID(B76,6,2)),VALUE(RIGHT(B76,2))))</f>
        <v/>
      </c>
      <c r="K76" s="6">
        <f>LEFT(SUBSTITUTE(SUBSTITUTE(D76,"-","")," ",""),3)&amp;"-"&amp;MID(SUBSTITUTE(SUBSTITUTE(D76,"-","")," ",""),4,4)&amp;"-"&amp;RIGHT(SUBSTITUTE(SUBSTITUTE(D76,"-","")," ",""),4)</f>
        <v/>
      </c>
      <c r="L76" s="6">
        <f>TRIM(MID(SUBSTITUTE(TRIM(E76)," ",REPT(" ",50)),51,50))</f>
        <v/>
      </c>
      <c r="M76" s="6">
        <f>SUBSTITUTE(F76," ","")</f>
        <v/>
      </c>
      <c r="N76" s="6">
        <f>TRIM(H76)</f>
        <v/>
      </c>
      <c r="O76" s="6">
        <f>IF(I76="",설정!$B$2-J76,I76-J76)</f>
        <v/>
      </c>
      <c r="P76" s="6">
        <f>IF(O76&gt;14,IF(N76="처리중","기한초과","지연처리"),"")</f>
        <v/>
      </c>
    </row>
    <row r="77">
      <c r="A77" s="6" t="inlineStr">
        <is>
          <t>2026-0068</t>
        </is>
      </c>
      <c r="B77" s="6" t="inlineStr">
        <is>
          <t>2026.10.13</t>
        </is>
      </c>
      <c r="C77" s="6" t="inlineStr">
        <is>
          <t>윤소율</t>
        </is>
      </c>
      <c r="D77" s="6" t="inlineStr">
        <is>
          <t>01059602011</t>
        </is>
      </c>
      <c r="E77" s="6" t="inlineStr">
        <is>
          <t>대구광역시 동구 대명동 397-20</t>
        </is>
      </c>
      <c r="F77" s="6" t="inlineStr">
        <is>
          <t>교통행정과</t>
        </is>
      </c>
      <c r="G77" s="6" t="inlineStr">
        <is>
          <t>버스노선 조정 건의</t>
        </is>
      </c>
      <c r="H77" s="6" t="inlineStr">
        <is>
          <t>완료</t>
        </is>
      </c>
      <c r="I77" s="7" t="n">
        <v>46320</v>
      </c>
      <c r="J77" s="7">
        <f>IF(ISNUMBER(B77),B77,DATE(VALUE(LEFT(B77,4)),VALUE(MID(B77,6,2)),VALUE(RIGHT(B77,2))))</f>
        <v/>
      </c>
      <c r="K77" s="6">
        <f>LEFT(SUBSTITUTE(SUBSTITUTE(D77,"-","")," ",""),3)&amp;"-"&amp;MID(SUBSTITUTE(SUBSTITUTE(D77,"-","")," ",""),4,4)&amp;"-"&amp;RIGHT(SUBSTITUTE(SUBSTITUTE(D77,"-","")," ",""),4)</f>
        <v/>
      </c>
      <c r="L77" s="6">
        <f>TRIM(MID(SUBSTITUTE(TRIM(E77)," ",REPT(" ",50)),51,50))</f>
        <v/>
      </c>
      <c r="M77" s="6">
        <f>SUBSTITUTE(F77," ","")</f>
        <v/>
      </c>
      <c r="N77" s="6">
        <f>TRIM(H77)</f>
        <v/>
      </c>
      <c r="O77" s="6">
        <f>IF(I77="",설정!$B$2-J77,I77-J77)</f>
        <v/>
      </c>
      <c r="P77" s="6">
        <f>IF(O77&gt;14,IF(N77="처리중","기한초과","지연처리"),"")</f>
        <v/>
      </c>
    </row>
    <row r="78">
      <c r="A78" s="6" t="inlineStr">
        <is>
          <t>2026-0069</t>
        </is>
      </c>
      <c r="B78" s="7" t="n">
        <v>46288</v>
      </c>
      <c r="C78" s="6" t="inlineStr">
        <is>
          <t>오민준</t>
        </is>
      </c>
      <c r="D78" s="6" t="inlineStr">
        <is>
          <t>01061692149</t>
        </is>
      </c>
      <c r="E78" s="6" t="inlineStr">
        <is>
          <t>대구광역시 중구 만촌동 404-16</t>
        </is>
      </c>
      <c r="F78" s="6" t="inlineStr">
        <is>
          <t>민원 봉사과</t>
        </is>
      </c>
      <c r="G78" s="6" t="inlineStr">
        <is>
          <t>증명서 발급 문의</t>
        </is>
      </c>
      <c r="H78" s="6" t="inlineStr">
        <is>
          <t>처리중</t>
        </is>
      </c>
      <c r="I78" s="7" t="n"/>
      <c r="J78" s="7">
        <f>IF(ISNUMBER(B78),B78,DATE(VALUE(LEFT(B78,4)),VALUE(MID(B78,6,2)),VALUE(RIGHT(B78,2))))</f>
        <v/>
      </c>
      <c r="K78" s="6">
        <f>LEFT(SUBSTITUTE(SUBSTITUTE(D78,"-","")," ",""),3)&amp;"-"&amp;MID(SUBSTITUTE(SUBSTITUTE(D78,"-","")," ",""),4,4)&amp;"-"&amp;RIGHT(SUBSTITUTE(SUBSTITUTE(D78,"-","")," ",""),4)</f>
        <v/>
      </c>
      <c r="L78" s="6">
        <f>TRIM(MID(SUBSTITUTE(TRIM(E78)," ",REPT(" ",50)),51,50))</f>
        <v/>
      </c>
      <c r="M78" s="6">
        <f>SUBSTITUTE(F78," ","")</f>
        <v/>
      </c>
      <c r="N78" s="6">
        <f>TRIM(H78)</f>
        <v/>
      </c>
      <c r="O78" s="6">
        <f>IF(I78="",설정!$B$2-J78,I78-J78)</f>
        <v/>
      </c>
      <c r="P78" s="6">
        <f>IF(O78&gt;14,IF(N78="처리중","기한초과","지연처리"),"")</f>
        <v/>
      </c>
    </row>
    <row r="79">
      <c r="A79" s="6" t="inlineStr">
        <is>
          <t>2026-0070</t>
        </is>
      </c>
      <c r="B79" s="7" t="n">
        <v>46272</v>
      </c>
      <c r="C79" s="6" t="inlineStr">
        <is>
          <t>한보라</t>
        </is>
      </c>
      <c r="D79" s="6" t="inlineStr">
        <is>
          <t>010-7657-4855</t>
        </is>
      </c>
      <c r="E79" s="6" t="inlineStr">
        <is>
          <t>대구광역시 서구 상인동 427-8</t>
        </is>
      </c>
      <c r="F79" s="6" t="inlineStr">
        <is>
          <t>도로과</t>
        </is>
      </c>
      <c r="G79" s="6" t="inlineStr">
        <is>
          <t>도로 파손(포트홀) 신고</t>
        </is>
      </c>
      <c r="H79" s="6" t="inlineStr">
        <is>
          <t>완료</t>
        </is>
      </c>
      <c r="I79" s="7" t="n">
        <v>46276</v>
      </c>
      <c r="J79" s="7">
        <f>IF(ISNUMBER(B79),B79,DATE(VALUE(LEFT(B79,4)),VALUE(MID(B79,6,2)),VALUE(RIGHT(B79,2))))</f>
        <v/>
      </c>
      <c r="K79" s="6">
        <f>LEFT(SUBSTITUTE(SUBSTITUTE(D79,"-","")," ",""),3)&amp;"-"&amp;MID(SUBSTITUTE(SUBSTITUTE(D79,"-","")," ",""),4,4)&amp;"-"&amp;RIGHT(SUBSTITUTE(SUBSTITUTE(D79,"-","")," ",""),4)</f>
        <v/>
      </c>
      <c r="L79" s="6">
        <f>TRIM(MID(SUBSTITUTE(TRIM(E79)," ",REPT(" ",50)),51,50))</f>
        <v/>
      </c>
      <c r="M79" s="6">
        <f>SUBSTITUTE(F79," ","")</f>
        <v/>
      </c>
      <c r="N79" s="6">
        <f>TRIM(H79)</f>
        <v/>
      </c>
      <c r="O79" s="6">
        <f>IF(I79="",설정!$B$2-J79,I79-J79)</f>
        <v/>
      </c>
      <c r="P79" s="6">
        <f>IF(O79&gt;14,IF(N79="처리중","기한초과","지연처리"),"")</f>
        <v/>
      </c>
    </row>
    <row r="80">
      <c r="A80" s="6" t="inlineStr">
        <is>
          <t>2026-0071</t>
        </is>
      </c>
      <c r="B80" s="7" t="n">
        <v>46295</v>
      </c>
      <c r="C80" s="6" t="inlineStr">
        <is>
          <t>권시우</t>
        </is>
      </c>
      <c r="D80" s="6" t="inlineStr">
        <is>
          <t>010 5559 2325</t>
        </is>
      </c>
      <c r="E80" s="6" t="inlineStr">
        <is>
          <t xml:space="preserve">  대구광역시  동구 지산동 350-20</t>
        </is>
      </c>
      <c r="F80" s="6" t="inlineStr">
        <is>
          <t>민원 봉사과</t>
        </is>
      </c>
      <c r="G80" s="6" t="inlineStr">
        <is>
          <t>증명서 발급 문의</t>
        </is>
      </c>
      <c r="H80" s="6" t="inlineStr">
        <is>
          <t>완료</t>
        </is>
      </c>
      <c r="I80" s="7" t="n">
        <v>46316</v>
      </c>
      <c r="J80" s="7">
        <f>IF(ISNUMBER(B80),B80,DATE(VALUE(LEFT(B80,4)),VALUE(MID(B80,6,2)),VALUE(RIGHT(B80,2))))</f>
        <v/>
      </c>
      <c r="K80" s="6">
        <f>LEFT(SUBSTITUTE(SUBSTITUTE(D80,"-","")," ",""),3)&amp;"-"&amp;MID(SUBSTITUTE(SUBSTITUTE(D80,"-","")," ",""),4,4)&amp;"-"&amp;RIGHT(SUBSTITUTE(SUBSTITUTE(D80,"-","")," ",""),4)</f>
        <v/>
      </c>
      <c r="L80" s="6">
        <f>TRIM(MID(SUBSTITUTE(TRIM(E80)," ",REPT(" ",50)),51,50))</f>
        <v/>
      </c>
      <c r="M80" s="6">
        <f>SUBSTITUTE(F80," ","")</f>
        <v/>
      </c>
      <c r="N80" s="6">
        <f>TRIM(H80)</f>
        <v/>
      </c>
      <c r="O80" s="6">
        <f>IF(I80="",설정!$B$2-J80,I80-J80)</f>
        <v/>
      </c>
      <c r="P80" s="6">
        <f>IF(O80&gt;14,IF(N80="처리중","기한초과","지연처리"),"")</f>
        <v/>
      </c>
    </row>
    <row r="81">
      <c r="A81" s="6" t="inlineStr">
        <is>
          <t>2026-0072</t>
        </is>
      </c>
      <c r="B81" s="7" t="n">
        <v>46301</v>
      </c>
      <c r="C81" s="6" t="inlineStr">
        <is>
          <t>이다은</t>
        </is>
      </c>
      <c r="D81" s="6" t="inlineStr">
        <is>
          <t>010-3276-3902</t>
        </is>
      </c>
      <c r="E81" s="6" t="inlineStr">
        <is>
          <t xml:space="preserve">  대구광역시  중구 상인동 453-16</t>
        </is>
      </c>
      <c r="F81" s="6" t="inlineStr">
        <is>
          <t>건축과</t>
        </is>
      </c>
      <c r="G81" s="6" t="inlineStr">
        <is>
          <t>불법 건축물 신고</t>
        </is>
      </c>
      <c r="H81" s="6" t="inlineStr">
        <is>
          <t>처리중</t>
        </is>
      </c>
      <c r="I81" s="7" t="n"/>
      <c r="J81" s="7">
        <f>IF(ISNUMBER(B81),B81,DATE(VALUE(LEFT(B81,4)),VALUE(MID(B81,6,2)),VALUE(RIGHT(B81,2))))</f>
        <v/>
      </c>
      <c r="K81" s="6">
        <f>LEFT(SUBSTITUTE(SUBSTITUTE(D81,"-","")," ",""),3)&amp;"-"&amp;MID(SUBSTITUTE(SUBSTITUTE(D81,"-","")," ",""),4,4)&amp;"-"&amp;RIGHT(SUBSTITUTE(SUBSTITUTE(D81,"-","")," ",""),4)</f>
        <v/>
      </c>
      <c r="L81" s="6">
        <f>TRIM(MID(SUBSTITUTE(TRIM(E81)," ",REPT(" ",50)),51,50))</f>
        <v/>
      </c>
      <c r="M81" s="6">
        <f>SUBSTITUTE(F81," ","")</f>
        <v/>
      </c>
      <c r="N81" s="6">
        <f>TRIM(H81)</f>
        <v/>
      </c>
      <c r="O81" s="6">
        <f>IF(I81="",설정!$B$2-J81,I81-J81)</f>
        <v/>
      </c>
      <c r="P81" s="6">
        <f>IF(O81&gt;14,IF(N81="처리중","기한초과","지연처리"),"")</f>
        <v/>
      </c>
    </row>
  </sheetData>
  <conditionalFormatting sqref="P2:P81">
    <cfRule type="expression" priority="1" dxfId="0">
      <formula>P2="기한초과"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4" t="inlineStr">
        <is>
          <t>항목</t>
        </is>
      </c>
      <c r="B1" s="4" t="inlineStr">
        <is>
          <t>값</t>
        </is>
      </c>
    </row>
    <row r="2">
      <c r="A2" t="inlineStr">
        <is>
          <t>기준일</t>
        </is>
      </c>
      <c r="B2" s="8" t="n">
        <v>46326</v>
      </c>
    </row>
    <row r="3">
      <c r="A3" t="inlineStr">
        <is>
          <t>안내</t>
        </is>
      </c>
      <c r="B3" t="inlineStr">
        <is>
          <t>수업 당일에는 B2를 =TODAY() 로 바꿔 보세요. 결과가 달라지는 이유를 AI에게 설명시켜 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2026-10-15T06:14:02Z</dcterms:created>
  <dcterms:modified xmlns:dcterms="http://purl.org/dc/terms/" xmlns:xsi="http://www.w3.org/2001/XMLSchema-instance" xsi:type="dcterms:W3CDTF">2026-10-15T06:14:02Z</dcterms:modified>
</cp:coreProperties>
</file>
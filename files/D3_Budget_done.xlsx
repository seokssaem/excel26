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예산집행" sheetId="2" state="visible" r:id="rId2"/>
    <sheet xmlns:r="http://schemas.openxmlformats.org/officeDocument/2006/relationships" name="부서코드표" sheetId="3" state="visible" r:id="rId3"/>
    <sheet xmlns:r="http://schemas.openxmlformats.org/officeDocument/2006/relationships" name="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D6F42"/>
      <sz val="14"/>
    </font>
    <font>
      <name val="맑은 고딕"/>
      <color rgb="00666666"/>
      <sz val="9"/>
    </font>
    <font>
      <name val="맑은 고딕"/>
      <b val="1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F8B4B4"/>
        </patternFill>
      </fill>
    </dxf>
    <dxf>
      <fill>
        <patternFill patternType="solid">
          <bgColor rgb="00CDE8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부서별 집행률(%)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'분석'!E3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'분석'!$B$4:$B$11</f>
            </numRef>
          </cat>
          <val>
            <numRef>
              <f>'분석'!$E$4:$E$11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3일차 · 예산 집행 분석(완성)</t>
        </is>
      </c>
    </row>
    <row r="4" ht="20" customHeight="1">
      <c r="B4" s="2" t="inlineStr">
        <is>
          <t>실습 목표 · 예산 집행 현황을 수식으로 집계하고 등급까지 자동 판정</t>
        </is>
      </c>
    </row>
    <row r="5" ht="34" customHeight="1">
      <c r="B5" s="3" t="inlineStr">
        <is>
          <t>교재 연계 · 2장 Section 05 (SUMIFS·COUNTIFS·IF/IFS·XLOOKUP), Section 06 (구간 판정), 3장 Section 10 (차트)</t>
        </is>
      </c>
    </row>
    <row r="6" ht="20" customHeight="1">
      <c r="B6" s="3" t="inlineStr">
        <is>
          <t>데이터 · 전부 가상 데이터입니다. 사업명·금액은 수업용으로 만든 값입니다.</t>
        </is>
      </c>
    </row>
    <row r="7" ht="20" customHeight="1">
      <c r="B7" s="2" t="inlineStr">
        <is>
          <t>진행 순서</t>
        </is>
      </c>
    </row>
    <row r="8" ht="20" customHeight="1">
      <c r="B8" s="3" t="inlineStr">
        <is>
          <t>(3일차 오후에 직접 만듭니다. 2일차 오전 서식 실습은 (완성) 파일로 진행합니다.)</t>
        </is>
      </c>
    </row>
    <row r="9" ht="20" customHeight="1">
      <c r="B9" s="3" t="inlineStr">
        <is>
          <t>1) 예산집행 시트 F열 집행률(%) / G열 미집행액 → 예산액이 0인 행에서 #DIV/0! 가 나는 이유를 확인하고 IFERROR로 처리</t>
        </is>
      </c>
    </row>
    <row r="10" ht="20" customHeight="1">
      <c r="B10" s="3" t="inlineStr">
        <is>
          <t>2) H·I열 부서명·팀장을 부서코드표에서 XLOOKUP으로 가져오기 (엑셀 2019 이하는 INDEX+MATCH)</t>
        </is>
      </c>
    </row>
    <row r="11" ht="20" customHeight="1">
      <c r="B11" s="3" t="inlineStr">
        <is>
          <t>3) J열 등급: 90 이상 우수 / 70 이상 보통 / 그 미만 부진 (IFS)</t>
        </is>
      </c>
    </row>
    <row r="12" ht="20" customHeight="1">
      <c r="B12" s="3" t="inlineStr">
        <is>
          <t>4) 분석 시트: SUMIFS로 부서별 연간 예산·집행액, COUNTIFS로 부진 행 수, 분기별 집행액</t>
        </is>
      </c>
    </row>
    <row r="13" ht="20" customHeight="1">
      <c r="B13" s="3" t="inlineStr">
        <is>
          <t>5) 분석 시트 집행률 열로 막대 차트 삽입</t>
        </is>
      </c>
    </row>
    <row r="14" ht="20" customHeight="1">
      <c r="B14" s="2" t="inlineStr">
        <is>
          <t>AI 활용 지점</t>
        </is>
      </c>
    </row>
    <row r="15" ht="20" customHeight="1">
      <c r="B15" s="3" t="inlineStr">
        <is>
          <t>· 시트 구조(열 이름)를 먼저 알려주고 수식을 요청합니다. 받은 수식은 3~5행으로 먼저 검증합니다.</t>
        </is>
      </c>
    </row>
    <row r="16" ht="20" customHeight="1">
      <c r="B16" s="3" t="inlineStr">
        <is>
          <t>· 일부러 '예산액 0' 행 2개를 넣어 두었습니다. AI 수식이 이 행을 어떻게 처리하는지 비교해 보세요.</t>
        </is>
      </c>
    </row>
    <row r="17" ht="20" customHeight="1">
      <c r="B17" s="2" t="inlineStr">
        <is>
          <t>정답 확인</t>
        </is>
      </c>
    </row>
    <row r="18" ht="20" customHeight="1">
      <c r="B18" s="3" t="inlineStr">
        <is>
          <t>분석 시트 합계 행이 전체 집행률. 부진 행 수 등 세부 정답은 교안 HTML의 정답표와 대조하세요.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8" customWidth="1" min="5" max="5"/>
    <col width="11" customWidth="1" min="6" max="6"/>
    <col width="15" customWidth="1" min="7" max="7"/>
    <col width="13" customWidth="1" min="8" max="8"/>
    <col width="10" customWidth="1" min="9" max="9"/>
    <col width="10" customWidth="1" min="10" max="10"/>
  </cols>
  <sheetData>
    <row r="1">
      <c r="A1" s="4" t="inlineStr">
        <is>
          <t>부서코드</t>
        </is>
      </c>
      <c r="B1" s="4" t="inlineStr">
        <is>
          <t>사업명</t>
        </is>
      </c>
      <c r="C1" s="4" t="inlineStr">
        <is>
          <t>예산액(천원)</t>
        </is>
      </c>
      <c r="D1" s="4" t="inlineStr">
        <is>
          <t>집행액(천원)</t>
        </is>
      </c>
      <c r="E1" s="4" t="inlineStr">
        <is>
          <t>분기</t>
        </is>
      </c>
      <c r="F1" s="4" t="inlineStr">
        <is>
          <t>집행률(%)</t>
        </is>
      </c>
      <c r="G1" s="4" t="inlineStr">
        <is>
          <t>미집행액(천원)</t>
        </is>
      </c>
      <c r="H1" s="4" t="inlineStr">
        <is>
          <t>부서명</t>
        </is>
      </c>
      <c r="I1" s="4" t="inlineStr">
        <is>
          <t>팀장</t>
        </is>
      </c>
      <c r="J1" s="4" t="inlineStr">
        <is>
          <t>등급</t>
        </is>
      </c>
    </row>
    <row r="2">
      <c r="A2" s="5" t="inlineStr">
        <is>
          <t>D01</t>
        </is>
      </c>
      <c r="B2" s="5" t="inlineStr">
        <is>
          <t>노후도로 포장정비</t>
        </is>
      </c>
      <c r="C2" s="6" t="n">
        <v>52000</v>
      </c>
      <c r="D2" s="6" t="n">
        <v>20900</v>
      </c>
      <c r="E2" s="5" t="inlineStr">
        <is>
          <t>1분기</t>
        </is>
      </c>
      <c r="F2" s="5">
        <f>IFERROR(ROUND(D2/C2*100,1),0)</f>
        <v/>
      </c>
      <c r="G2" s="6">
        <f>C2-D2</f>
        <v/>
      </c>
      <c r="H2" s="5">
        <f>_xlfn.XLOOKUP(A2,부서코드표!$A$2:$A$9,부서코드표!$B$2:$B$9,"미등록")</f>
        <v/>
      </c>
      <c r="I2" s="5">
        <f>_xlfn.XLOOKUP(A2,부서코드표!$A$2:$A$9,부서코드표!$C$2:$C$9,"미등록")</f>
        <v/>
      </c>
      <c r="J2" s="5">
        <f>IF(C2=0,"예산없음",_xlfn.IFS(F2&gt;=90,"우수",F2&gt;=70,"보통",TRUE,"부진"))</f>
        <v/>
      </c>
    </row>
    <row r="3">
      <c r="A3" s="5" t="inlineStr">
        <is>
          <t>D01</t>
        </is>
      </c>
      <c r="B3" s="5" t="inlineStr">
        <is>
          <t>노후도로 포장정비</t>
        </is>
      </c>
      <c r="C3" s="6" t="n">
        <v>50600</v>
      </c>
      <c r="D3" s="6" t="n">
        <v>20500</v>
      </c>
      <c r="E3" s="5" t="inlineStr">
        <is>
          <t>2분기</t>
        </is>
      </c>
      <c r="F3" s="5">
        <f>IFERROR(ROUND(D3/C3*100,1),0)</f>
        <v/>
      </c>
      <c r="G3" s="6">
        <f>C3-D3</f>
        <v/>
      </c>
      <c r="H3" s="5">
        <f>_xlfn.XLOOKUP(A3,부서코드표!$A$2:$A$9,부서코드표!$B$2:$B$9,"미등록")</f>
        <v/>
      </c>
      <c r="I3" s="5">
        <f>_xlfn.XLOOKUP(A3,부서코드표!$A$2:$A$9,부서코드표!$C$2:$C$9,"미등록")</f>
        <v/>
      </c>
      <c r="J3" s="5">
        <f>IF(C3=0,"예산없음",_xlfn.IFS(F3&gt;=90,"우수",F3&gt;=70,"보통",TRUE,"부진"))</f>
        <v/>
      </c>
    </row>
    <row r="4">
      <c r="A4" s="5" t="inlineStr">
        <is>
          <t>D01</t>
        </is>
      </c>
      <c r="B4" s="5" t="inlineStr">
        <is>
          <t>노후도로 포장정비</t>
        </is>
      </c>
      <c r="C4" s="6" t="n">
        <v>47900</v>
      </c>
      <c r="D4" s="6" t="n">
        <v>22000</v>
      </c>
      <c r="E4" s="5" t="inlineStr">
        <is>
          <t>3분기</t>
        </is>
      </c>
      <c r="F4" s="5">
        <f>IFERROR(ROUND(D4/C4*100,1),0)</f>
        <v/>
      </c>
      <c r="G4" s="6">
        <f>C4-D4</f>
        <v/>
      </c>
      <c r="H4" s="5">
        <f>_xlfn.XLOOKUP(A4,부서코드표!$A$2:$A$9,부서코드표!$B$2:$B$9,"미등록")</f>
        <v/>
      </c>
      <c r="I4" s="5">
        <f>_xlfn.XLOOKUP(A4,부서코드표!$A$2:$A$9,부서코드표!$C$2:$C$9,"미등록")</f>
        <v/>
      </c>
      <c r="J4" s="5">
        <f>IF(C4=0,"예산없음",_xlfn.IFS(F4&gt;=90,"우수",F4&gt;=70,"보통",TRUE,"부진"))</f>
        <v/>
      </c>
    </row>
    <row r="5">
      <c r="A5" s="5" t="inlineStr">
        <is>
          <t>D01</t>
        </is>
      </c>
      <c r="B5" s="5" t="inlineStr">
        <is>
          <t>노후도로 포장정비</t>
        </is>
      </c>
      <c r="C5" s="6" t="n">
        <v>39500</v>
      </c>
      <c r="D5" s="6" t="n">
        <v>16800</v>
      </c>
      <c r="E5" s="5" t="inlineStr">
        <is>
          <t>4분기</t>
        </is>
      </c>
      <c r="F5" s="5">
        <f>IFERROR(ROUND(D5/C5*100,1),0)</f>
        <v/>
      </c>
      <c r="G5" s="6">
        <f>C5-D5</f>
        <v/>
      </c>
      <c r="H5" s="5">
        <f>_xlfn.XLOOKUP(A5,부서코드표!$A$2:$A$9,부서코드표!$B$2:$B$9,"미등록")</f>
        <v/>
      </c>
      <c r="I5" s="5">
        <f>_xlfn.XLOOKUP(A5,부서코드표!$A$2:$A$9,부서코드표!$C$2:$C$9,"미등록")</f>
        <v/>
      </c>
      <c r="J5" s="5">
        <f>IF(C5=0,"예산없음",_xlfn.IFS(F5&gt;=90,"우수",F5&gt;=70,"보통",TRUE,"부진"))</f>
        <v/>
      </c>
    </row>
    <row r="6">
      <c r="A6" s="5" t="inlineStr">
        <is>
          <t>D01</t>
        </is>
      </c>
      <c r="B6" s="5" t="inlineStr">
        <is>
          <t>보도블록 교체</t>
        </is>
      </c>
      <c r="C6" s="6" t="n">
        <v>31900</v>
      </c>
      <c r="D6" s="6" t="n">
        <v>29600</v>
      </c>
      <c r="E6" s="5" t="inlineStr">
        <is>
          <t>1분기</t>
        </is>
      </c>
      <c r="F6" s="5">
        <f>IFERROR(ROUND(D6/C6*100,1),0)</f>
        <v/>
      </c>
      <c r="G6" s="6">
        <f>C6-D6</f>
        <v/>
      </c>
      <c r="H6" s="5">
        <f>_xlfn.XLOOKUP(A6,부서코드표!$A$2:$A$9,부서코드표!$B$2:$B$9,"미등록")</f>
        <v/>
      </c>
      <c r="I6" s="5">
        <f>_xlfn.XLOOKUP(A6,부서코드표!$A$2:$A$9,부서코드표!$C$2:$C$9,"미등록")</f>
        <v/>
      </c>
      <c r="J6" s="5">
        <f>IF(C6=0,"예산없음",_xlfn.IFS(F6&gt;=90,"우수",F6&gt;=70,"보통",TRUE,"부진"))</f>
        <v/>
      </c>
    </row>
    <row r="7">
      <c r="A7" s="5" t="inlineStr">
        <is>
          <t>D01</t>
        </is>
      </c>
      <c r="B7" s="5" t="inlineStr">
        <is>
          <t>보도블록 교체</t>
        </is>
      </c>
      <c r="C7" s="6" t="n">
        <v>22600</v>
      </c>
      <c r="D7" s="6" t="n">
        <v>20200</v>
      </c>
      <c r="E7" s="5" t="inlineStr">
        <is>
          <t>2분기</t>
        </is>
      </c>
      <c r="F7" s="5">
        <f>IFERROR(ROUND(D7/C7*100,1),0)</f>
        <v/>
      </c>
      <c r="G7" s="6">
        <f>C7-D7</f>
        <v/>
      </c>
      <c r="H7" s="5">
        <f>_xlfn.XLOOKUP(A7,부서코드표!$A$2:$A$9,부서코드표!$B$2:$B$9,"미등록")</f>
        <v/>
      </c>
      <c r="I7" s="5">
        <f>_xlfn.XLOOKUP(A7,부서코드표!$A$2:$A$9,부서코드표!$C$2:$C$9,"미등록")</f>
        <v/>
      </c>
      <c r="J7" s="5">
        <f>IF(C7=0,"예산없음",_xlfn.IFS(F7&gt;=90,"우수",F7&gt;=70,"보통",TRUE,"부진"))</f>
        <v/>
      </c>
    </row>
    <row r="8">
      <c r="A8" s="5" t="inlineStr">
        <is>
          <t>D01</t>
        </is>
      </c>
      <c r="B8" s="5" t="inlineStr">
        <is>
          <t>보도블록 교체</t>
        </is>
      </c>
      <c r="C8" s="6" t="n">
        <v>20100</v>
      </c>
      <c r="D8" s="6" t="n">
        <v>18700</v>
      </c>
      <c r="E8" s="5" t="inlineStr">
        <is>
          <t>3분기</t>
        </is>
      </c>
      <c r="F8" s="5">
        <f>IFERROR(ROUND(D8/C8*100,1),0)</f>
        <v/>
      </c>
      <c r="G8" s="6">
        <f>C8-D8</f>
        <v/>
      </c>
      <c r="H8" s="5">
        <f>_xlfn.XLOOKUP(A8,부서코드표!$A$2:$A$9,부서코드표!$B$2:$B$9,"미등록")</f>
        <v/>
      </c>
      <c r="I8" s="5">
        <f>_xlfn.XLOOKUP(A8,부서코드표!$A$2:$A$9,부서코드표!$C$2:$C$9,"미등록")</f>
        <v/>
      </c>
      <c r="J8" s="5">
        <f>IF(C8=0,"예산없음",_xlfn.IFS(F8&gt;=90,"우수",F8&gt;=70,"보통",TRUE,"부진"))</f>
        <v/>
      </c>
    </row>
    <row r="9">
      <c r="A9" s="5" t="inlineStr">
        <is>
          <t>D01</t>
        </is>
      </c>
      <c r="B9" s="5" t="inlineStr">
        <is>
          <t>보도블록 교체</t>
        </is>
      </c>
      <c r="C9" s="6" t="n">
        <v>28400</v>
      </c>
      <c r="D9" s="6" t="n">
        <v>20000</v>
      </c>
      <c r="E9" s="5" t="inlineStr">
        <is>
          <t>4분기</t>
        </is>
      </c>
      <c r="F9" s="5">
        <f>IFERROR(ROUND(D9/C9*100,1),0)</f>
        <v/>
      </c>
      <c r="G9" s="6">
        <f>C9-D9</f>
        <v/>
      </c>
      <c r="H9" s="5">
        <f>_xlfn.XLOOKUP(A9,부서코드표!$A$2:$A$9,부서코드표!$B$2:$B$9,"미등록")</f>
        <v/>
      </c>
      <c r="I9" s="5">
        <f>_xlfn.XLOOKUP(A9,부서코드표!$A$2:$A$9,부서코드표!$C$2:$C$9,"미등록")</f>
        <v/>
      </c>
      <c r="J9" s="5">
        <f>IF(C9=0,"예산없음",_xlfn.IFS(F9&gt;=90,"우수",F9&gt;=70,"보통",TRUE,"부진"))</f>
        <v/>
      </c>
    </row>
    <row r="10">
      <c r="A10" s="5" t="inlineStr">
        <is>
          <t>D01</t>
        </is>
      </c>
      <c r="B10" s="5" t="inlineStr">
        <is>
          <t>도로안전시설 확충</t>
        </is>
      </c>
      <c r="C10" s="6" t="n">
        <v>25200</v>
      </c>
      <c r="D10" s="6" t="n">
        <v>24900</v>
      </c>
      <c r="E10" s="5" t="inlineStr">
        <is>
          <t>1분기</t>
        </is>
      </c>
      <c r="F10" s="5">
        <f>IFERROR(ROUND(D10/C10*100,1),0)</f>
        <v/>
      </c>
      <c r="G10" s="6">
        <f>C10-D10</f>
        <v/>
      </c>
      <c r="H10" s="5">
        <f>_xlfn.XLOOKUP(A10,부서코드표!$A$2:$A$9,부서코드표!$B$2:$B$9,"미등록")</f>
        <v/>
      </c>
      <c r="I10" s="5">
        <f>_xlfn.XLOOKUP(A10,부서코드표!$A$2:$A$9,부서코드표!$C$2:$C$9,"미등록")</f>
        <v/>
      </c>
      <c r="J10" s="5">
        <f>IF(C10=0,"예산없음",_xlfn.IFS(F10&gt;=90,"우수",F10&gt;=70,"보통",TRUE,"부진"))</f>
        <v/>
      </c>
    </row>
    <row r="11">
      <c r="A11" s="5" t="inlineStr">
        <is>
          <t>D01</t>
        </is>
      </c>
      <c r="B11" s="5" t="inlineStr">
        <is>
          <t>도로안전시설 확충</t>
        </is>
      </c>
      <c r="C11" s="6" t="n">
        <v>34800</v>
      </c>
      <c r="D11" s="6" t="n">
        <v>31300</v>
      </c>
      <c r="E11" s="5" t="inlineStr">
        <is>
          <t>2분기</t>
        </is>
      </c>
      <c r="F11" s="5">
        <f>IFERROR(ROUND(D11/C11*100,1),0)</f>
        <v/>
      </c>
      <c r="G11" s="6">
        <f>C11-D11</f>
        <v/>
      </c>
      <c r="H11" s="5">
        <f>_xlfn.XLOOKUP(A11,부서코드표!$A$2:$A$9,부서코드표!$B$2:$B$9,"미등록")</f>
        <v/>
      </c>
      <c r="I11" s="5">
        <f>_xlfn.XLOOKUP(A11,부서코드표!$A$2:$A$9,부서코드표!$C$2:$C$9,"미등록")</f>
        <v/>
      </c>
      <c r="J11" s="5">
        <f>IF(C11=0,"예산없음",_xlfn.IFS(F11&gt;=90,"우수",F11&gt;=70,"보통",TRUE,"부진"))</f>
        <v/>
      </c>
    </row>
    <row r="12">
      <c r="A12" s="5" t="inlineStr">
        <is>
          <t>D01</t>
        </is>
      </c>
      <c r="B12" s="5" t="inlineStr">
        <is>
          <t>도로안전시설 확충</t>
        </is>
      </c>
      <c r="C12" s="6" t="n">
        <v>28000</v>
      </c>
      <c r="D12" s="6" t="n">
        <v>25600</v>
      </c>
      <c r="E12" s="5" t="inlineStr">
        <is>
          <t>3분기</t>
        </is>
      </c>
      <c r="F12" s="5">
        <f>IFERROR(ROUND(D12/C12*100,1),0)</f>
        <v/>
      </c>
      <c r="G12" s="6">
        <f>C12-D12</f>
        <v/>
      </c>
      <c r="H12" s="5">
        <f>_xlfn.XLOOKUP(A12,부서코드표!$A$2:$A$9,부서코드표!$B$2:$B$9,"미등록")</f>
        <v/>
      </c>
      <c r="I12" s="5">
        <f>_xlfn.XLOOKUP(A12,부서코드표!$A$2:$A$9,부서코드표!$C$2:$C$9,"미등록")</f>
        <v/>
      </c>
      <c r="J12" s="5">
        <f>IF(C12=0,"예산없음",_xlfn.IFS(F12&gt;=90,"우수",F12&gt;=70,"보통",TRUE,"부진"))</f>
        <v/>
      </c>
    </row>
    <row r="13">
      <c r="A13" s="5" t="inlineStr">
        <is>
          <t>D01</t>
        </is>
      </c>
      <c r="B13" s="5" t="inlineStr">
        <is>
          <t>도로안전시설 확충</t>
        </is>
      </c>
      <c r="C13" s="6" t="n">
        <v>38900</v>
      </c>
      <c r="D13" s="6" t="n">
        <v>29100</v>
      </c>
      <c r="E13" s="5" t="inlineStr">
        <is>
          <t>4분기</t>
        </is>
      </c>
      <c r="F13" s="5">
        <f>IFERROR(ROUND(D13/C13*100,1),0)</f>
        <v/>
      </c>
      <c r="G13" s="6">
        <f>C13-D13</f>
        <v/>
      </c>
      <c r="H13" s="5">
        <f>_xlfn.XLOOKUP(A13,부서코드표!$A$2:$A$9,부서코드표!$B$2:$B$9,"미등록")</f>
        <v/>
      </c>
      <c r="I13" s="5">
        <f>_xlfn.XLOOKUP(A13,부서코드표!$A$2:$A$9,부서코드표!$C$2:$C$9,"미등록")</f>
        <v/>
      </c>
      <c r="J13" s="5">
        <f>IF(C13=0,"예산없음",_xlfn.IFS(F13&gt;=90,"우수",F13&gt;=70,"보통",TRUE,"부진"))</f>
        <v/>
      </c>
    </row>
    <row r="14">
      <c r="A14" s="5" t="inlineStr">
        <is>
          <t>D02</t>
        </is>
      </c>
      <c r="B14" s="5" t="inlineStr">
        <is>
          <t>재활용 선별장 운영</t>
        </is>
      </c>
      <c r="C14" s="6" t="n">
        <v>20500</v>
      </c>
      <c r="D14" s="6" t="n">
        <v>17500</v>
      </c>
      <c r="E14" s="5" t="inlineStr">
        <is>
          <t>1분기</t>
        </is>
      </c>
      <c r="F14" s="5">
        <f>IFERROR(ROUND(D14/C14*100,1),0)</f>
        <v/>
      </c>
      <c r="G14" s="6">
        <f>C14-D14</f>
        <v/>
      </c>
      <c r="H14" s="5">
        <f>_xlfn.XLOOKUP(A14,부서코드표!$A$2:$A$9,부서코드표!$B$2:$B$9,"미등록")</f>
        <v/>
      </c>
      <c r="I14" s="5">
        <f>_xlfn.XLOOKUP(A14,부서코드표!$A$2:$A$9,부서코드표!$C$2:$C$9,"미등록")</f>
        <v/>
      </c>
      <c r="J14" s="5">
        <f>IF(C14=0,"예산없음",_xlfn.IFS(F14&gt;=90,"우수",F14&gt;=70,"보통",TRUE,"부진"))</f>
        <v/>
      </c>
    </row>
    <row r="15">
      <c r="A15" s="5" t="inlineStr">
        <is>
          <t>D02</t>
        </is>
      </c>
      <c r="B15" s="5" t="inlineStr">
        <is>
          <t>재활용 선별장 운영</t>
        </is>
      </c>
      <c r="C15" s="6" t="n">
        <v>30900</v>
      </c>
      <c r="D15" s="6" t="n">
        <v>29200</v>
      </c>
      <c r="E15" s="5" t="inlineStr">
        <is>
          <t>2분기</t>
        </is>
      </c>
      <c r="F15" s="5">
        <f>IFERROR(ROUND(D15/C15*100,1),0)</f>
        <v/>
      </c>
      <c r="G15" s="6">
        <f>C15-D15</f>
        <v/>
      </c>
      <c r="H15" s="5">
        <f>_xlfn.XLOOKUP(A15,부서코드표!$A$2:$A$9,부서코드표!$B$2:$B$9,"미등록")</f>
        <v/>
      </c>
      <c r="I15" s="5">
        <f>_xlfn.XLOOKUP(A15,부서코드표!$A$2:$A$9,부서코드표!$C$2:$C$9,"미등록")</f>
        <v/>
      </c>
      <c r="J15" s="5">
        <f>IF(C15=0,"예산없음",_xlfn.IFS(F15&gt;=90,"우수",F15&gt;=70,"보통",TRUE,"부진"))</f>
        <v/>
      </c>
    </row>
    <row r="16">
      <c r="A16" s="5" t="inlineStr">
        <is>
          <t>D02</t>
        </is>
      </c>
      <c r="B16" s="5" t="inlineStr">
        <is>
          <t>재활용 선별장 운영</t>
        </is>
      </c>
      <c r="C16" s="6" t="n">
        <v>33200</v>
      </c>
      <c r="D16" s="6" t="n">
        <v>33000</v>
      </c>
      <c r="E16" s="5" t="inlineStr">
        <is>
          <t>3분기</t>
        </is>
      </c>
      <c r="F16" s="5">
        <f>IFERROR(ROUND(D16/C16*100,1),0)</f>
        <v/>
      </c>
      <c r="G16" s="6">
        <f>C16-D16</f>
        <v/>
      </c>
      <c r="H16" s="5">
        <f>_xlfn.XLOOKUP(A16,부서코드표!$A$2:$A$9,부서코드표!$B$2:$B$9,"미등록")</f>
        <v/>
      </c>
      <c r="I16" s="5">
        <f>_xlfn.XLOOKUP(A16,부서코드표!$A$2:$A$9,부서코드표!$C$2:$C$9,"미등록")</f>
        <v/>
      </c>
      <c r="J16" s="5">
        <f>IF(C16=0,"예산없음",_xlfn.IFS(F16&gt;=90,"우수",F16&gt;=70,"보통",TRUE,"부진"))</f>
        <v/>
      </c>
    </row>
    <row r="17">
      <c r="A17" s="5" t="inlineStr">
        <is>
          <t>D02</t>
        </is>
      </c>
      <c r="B17" s="5" t="inlineStr">
        <is>
          <t>재활용 선별장 운영</t>
        </is>
      </c>
      <c r="C17" s="6" t="n">
        <v>22600</v>
      </c>
      <c r="D17" s="6" t="n">
        <v>15500</v>
      </c>
      <c r="E17" s="5" t="inlineStr">
        <is>
          <t>4분기</t>
        </is>
      </c>
      <c r="F17" s="5">
        <f>IFERROR(ROUND(D17/C17*100,1),0)</f>
        <v/>
      </c>
      <c r="G17" s="6">
        <f>C17-D17</f>
        <v/>
      </c>
      <c r="H17" s="5">
        <f>_xlfn.XLOOKUP(A17,부서코드표!$A$2:$A$9,부서코드표!$B$2:$B$9,"미등록")</f>
        <v/>
      </c>
      <c r="I17" s="5">
        <f>_xlfn.XLOOKUP(A17,부서코드표!$A$2:$A$9,부서코드표!$C$2:$C$9,"미등록")</f>
        <v/>
      </c>
      <c r="J17" s="5">
        <f>IF(C17=0,"예산없음",_xlfn.IFS(F17&gt;=90,"우수",F17&gt;=70,"보통",TRUE,"부진"))</f>
        <v/>
      </c>
    </row>
    <row r="18">
      <c r="A18" s="5" t="inlineStr">
        <is>
          <t>D02</t>
        </is>
      </c>
      <c r="B18" s="5" t="inlineStr">
        <is>
          <t>가로 청소 용역</t>
        </is>
      </c>
      <c r="C18" s="6" t="n">
        <v>54500</v>
      </c>
      <c r="D18" s="6" t="n">
        <v>51300</v>
      </c>
      <c r="E18" s="5" t="inlineStr">
        <is>
          <t>1분기</t>
        </is>
      </c>
      <c r="F18" s="5">
        <f>IFERROR(ROUND(D18/C18*100,1),0)</f>
        <v/>
      </c>
      <c r="G18" s="6">
        <f>C18-D18</f>
        <v/>
      </c>
      <c r="H18" s="5">
        <f>_xlfn.XLOOKUP(A18,부서코드표!$A$2:$A$9,부서코드표!$B$2:$B$9,"미등록")</f>
        <v/>
      </c>
      <c r="I18" s="5">
        <f>_xlfn.XLOOKUP(A18,부서코드표!$A$2:$A$9,부서코드표!$C$2:$C$9,"미등록")</f>
        <v/>
      </c>
      <c r="J18" s="5">
        <f>IF(C18=0,"예산없음",_xlfn.IFS(F18&gt;=90,"우수",F18&gt;=70,"보통",TRUE,"부진"))</f>
        <v/>
      </c>
    </row>
    <row r="19">
      <c r="A19" s="5" t="inlineStr">
        <is>
          <t>D02</t>
        </is>
      </c>
      <c r="B19" s="5" t="inlineStr">
        <is>
          <t>가로 청소 용역</t>
        </is>
      </c>
      <c r="C19" s="6" t="n">
        <v>65800</v>
      </c>
      <c r="D19" s="6" t="n">
        <v>64300</v>
      </c>
      <c r="E19" s="5" t="inlineStr">
        <is>
          <t>2분기</t>
        </is>
      </c>
      <c r="F19" s="5">
        <f>IFERROR(ROUND(D19/C19*100,1),0)</f>
        <v/>
      </c>
      <c r="G19" s="6">
        <f>C19-D19</f>
        <v/>
      </c>
      <c r="H19" s="5">
        <f>_xlfn.XLOOKUP(A19,부서코드표!$A$2:$A$9,부서코드표!$B$2:$B$9,"미등록")</f>
        <v/>
      </c>
      <c r="I19" s="5">
        <f>_xlfn.XLOOKUP(A19,부서코드표!$A$2:$A$9,부서코드표!$C$2:$C$9,"미등록")</f>
        <v/>
      </c>
      <c r="J19" s="5">
        <f>IF(C19=0,"예산없음",_xlfn.IFS(F19&gt;=90,"우수",F19&gt;=70,"보통",TRUE,"부진"))</f>
        <v/>
      </c>
    </row>
    <row r="20">
      <c r="A20" s="5" t="inlineStr">
        <is>
          <t>D02</t>
        </is>
      </c>
      <c r="B20" s="5" t="inlineStr">
        <is>
          <t>가로 청소 용역</t>
        </is>
      </c>
      <c r="C20" s="6" t="n">
        <v>66300</v>
      </c>
      <c r="D20" s="6" t="n">
        <v>63400</v>
      </c>
      <c r="E20" s="5" t="inlineStr">
        <is>
          <t>3분기</t>
        </is>
      </c>
      <c r="F20" s="5">
        <f>IFERROR(ROUND(D20/C20*100,1),0)</f>
        <v/>
      </c>
      <c r="G20" s="6">
        <f>C20-D20</f>
        <v/>
      </c>
      <c r="H20" s="5">
        <f>_xlfn.XLOOKUP(A20,부서코드표!$A$2:$A$9,부서코드표!$B$2:$B$9,"미등록")</f>
        <v/>
      </c>
      <c r="I20" s="5">
        <f>_xlfn.XLOOKUP(A20,부서코드표!$A$2:$A$9,부서코드표!$C$2:$C$9,"미등록")</f>
        <v/>
      </c>
      <c r="J20" s="5">
        <f>IF(C20=0,"예산없음",_xlfn.IFS(F20&gt;=90,"우수",F20&gt;=70,"보통",TRUE,"부진"))</f>
        <v/>
      </c>
    </row>
    <row r="21">
      <c r="A21" s="5" t="inlineStr">
        <is>
          <t>D02</t>
        </is>
      </c>
      <c r="B21" s="5" t="inlineStr">
        <is>
          <t>가로 청소 용역</t>
        </is>
      </c>
      <c r="C21" s="6" t="n">
        <v>49800</v>
      </c>
      <c r="D21" s="6" t="n">
        <v>29800</v>
      </c>
      <c r="E21" s="5" t="inlineStr">
        <is>
          <t>4분기</t>
        </is>
      </c>
      <c r="F21" s="5">
        <f>IFERROR(ROUND(D21/C21*100,1),0)</f>
        <v/>
      </c>
      <c r="G21" s="6">
        <f>C21-D21</f>
        <v/>
      </c>
      <c r="H21" s="5">
        <f>_xlfn.XLOOKUP(A21,부서코드표!$A$2:$A$9,부서코드표!$B$2:$B$9,"미등록")</f>
        <v/>
      </c>
      <c r="I21" s="5">
        <f>_xlfn.XLOOKUP(A21,부서코드표!$A$2:$A$9,부서코드표!$C$2:$C$9,"미등록")</f>
        <v/>
      </c>
      <c r="J21" s="5">
        <f>IF(C21=0,"예산없음",_xlfn.IFS(F21&gt;=90,"우수",F21&gt;=70,"보통",TRUE,"부진"))</f>
        <v/>
      </c>
    </row>
    <row r="22">
      <c r="A22" s="5" t="inlineStr">
        <is>
          <t>D02</t>
        </is>
      </c>
      <c r="B22" s="5" t="inlineStr">
        <is>
          <t>악취저감시설 설치</t>
        </is>
      </c>
      <c r="C22" s="6" t="n">
        <v>6200</v>
      </c>
      <c r="D22" s="6" t="n">
        <v>5500</v>
      </c>
      <c r="E22" s="5" t="inlineStr">
        <is>
          <t>1분기</t>
        </is>
      </c>
      <c r="F22" s="5">
        <f>IFERROR(ROUND(D22/C22*100,1),0)</f>
        <v/>
      </c>
      <c r="G22" s="6">
        <f>C22-D22</f>
        <v/>
      </c>
      <c r="H22" s="5">
        <f>_xlfn.XLOOKUP(A22,부서코드표!$A$2:$A$9,부서코드표!$B$2:$B$9,"미등록")</f>
        <v/>
      </c>
      <c r="I22" s="5">
        <f>_xlfn.XLOOKUP(A22,부서코드표!$A$2:$A$9,부서코드표!$C$2:$C$9,"미등록")</f>
        <v/>
      </c>
      <c r="J22" s="5">
        <f>IF(C22=0,"예산없음",_xlfn.IFS(F22&gt;=90,"우수",F22&gt;=70,"보통",TRUE,"부진"))</f>
        <v/>
      </c>
    </row>
    <row r="23">
      <c r="A23" s="5" t="inlineStr">
        <is>
          <t>D02</t>
        </is>
      </c>
      <c r="B23" s="5" t="inlineStr">
        <is>
          <t>악취저감시설 설치</t>
        </is>
      </c>
      <c r="C23" s="6" t="n">
        <v>4900</v>
      </c>
      <c r="D23" s="6" t="n">
        <v>4200</v>
      </c>
      <c r="E23" s="5" t="inlineStr">
        <is>
          <t>2분기</t>
        </is>
      </c>
      <c r="F23" s="5">
        <f>IFERROR(ROUND(D23/C23*100,1),0)</f>
        <v/>
      </c>
      <c r="G23" s="6">
        <f>C23-D23</f>
        <v/>
      </c>
      <c r="H23" s="5">
        <f>_xlfn.XLOOKUP(A23,부서코드표!$A$2:$A$9,부서코드표!$B$2:$B$9,"미등록")</f>
        <v/>
      </c>
      <c r="I23" s="5">
        <f>_xlfn.XLOOKUP(A23,부서코드표!$A$2:$A$9,부서코드표!$C$2:$C$9,"미등록")</f>
        <v/>
      </c>
      <c r="J23" s="5">
        <f>IF(C23=0,"예산없음",_xlfn.IFS(F23&gt;=90,"우수",F23&gt;=70,"보통",TRUE,"부진"))</f>
        <v/>
      </c>
    </row>
    <row r="24">
      <c r="A24" s="5" t="inlineStr">
        <is>
          <t>D02</t>
        </is>
      </c>
      <c r="B24" s="5" t="inlineStr">
        <is>
          <t>악취저감시설 설치</t>
        </is>
      </c>
      <c r="C24" s="6" t="n">
        <v>5300</v>
      </c>
      <c r="D24" s="6" t="n">
        <v>4700</v>
      </c>
      <c r="E24" s="5" t="inlineStr">
        <is>
          <t>3분기</t>
        </is>
      </c>
      <c r="F24" s="5">
        <f>IFERROR(ROUND(D24/C24*100,1),0)</f>
        <v/>
      </c>
      <c r="G24" s="6">
        <f>C24-D24</f>
        <v/>
      </c>
      <c r="H24" s="5">
        <f>_xlfn.XLOOKUP(A24,부서코드표!$A$2:$A$9,부서코드표!$B$2:$B$9,"미등록")</f>
        <v/>
      </c>
      <c r="I24" s="5">
        <f>_xlfn.XLOOKUP(A24,부서코드표!$A$2:$A$9,부서코드표!$C$2:$C$9,"미등록")</f>
        <v/>
      </c>
      <c r="J24" s="5">
        <f>IF(C24=0,"예산없음",_xlfn.IFS(F24&gt;=90,"우수",F24&gt;=70,"보통",TRUE,"부진"))</f>
        <v/>
      </c>
    </row>
    <row r="25">
      <c r="A25" s="5" t="inlineStr">
        <is>
          <t>D02</t>
        </is>
      </c>
      <c r="B25" s="5" t="inlineStr">
        <is>
          <t>악취저감시설 설치</t>
        </is>
      </c>
      <c r="C25" s="6" t="n">
        <v>5300</v>
      </c>
      <c r="D25" s="6" t="n">
        <v>4200</v>
      </c>
      <c r="E25" s="5" t="inlineStr">
        <is>
          <t>4분기</t>
        </is>
      </c>
      <c r="F25" s="5">
        <f>IFERROR(ROUND(D25/C25*100,1),0)</f>
        <v/>
      </c>
      <c r="G25" s="6">
        <f>C25-D25</f>
        <v/>
      </c>
      <c r="H25" s="5">
        <f>_xlfn.XLOOKUP(A25,부서코드표!$A$2:$A$9,부서코드표!$B$2:$B$9,"미등록")</f>
        <v/>
      </c>
      <c r="I25" s="5">
        <f>_xlfn.XLOOKUP(A25,부서코드표!$A$2:$A$9,부서코드표!$C$2:$C$9,"미등록")</f>
        <v/>
      </c>
      <c r="J25" s="5">
        <f>IF(C25=0,"예산없음",_xlfn.IFS(F25&gt;=90,"우수",F25&gt;=70,"보통",TRUE,"부진"))</f>
        <v/>
      </c>
    </row>
    <row r="26">
      <c r="A26" s="5" t="inlineStr">
        <is>
          <t>D03</t>
        </is>
      </c>
      <c r="B26" s="5" t="inlineStr">
        <is>
          <t>저소득층 생계지원</t>
        </is>
      </c>
      <c r="C26" s="6" t="n">
        <v>34900</v>
      </c>
      <c r="D26" s="6" t="n">
        <v>32000</v>
      </c>
      <c r="E26" s="5" t="inlineStr">
        <is>
          <t>1분기</t>
        </is>
      </c>
      <c r="F26" s="5">
        <f>IFERROR(ROUND(D26/C26*100,1),0)</f>
        <v/>
      </c>
      <c r="G26" s="6">
        <f>C26-D26</f>
        <v/>
      </c>
      <c r="H26" s="5">
        <f>_xlfn.XLOOKUP(A26,부서코드표!$A$2:$A$9,부서코드표!$B$2:$B$9,"미등록")</f>
        <v/>
      </c>
      <c r="I26" s="5">
        <f>_xlfn.XLOOKUP(A26,부서코드표!$A$2:$A$9,부서코드표!$C$2:$C$9,"미등록")</f>
        <v/>
      </c>
      <c r="J26" s="5">
        <f>IF(C26=0,"예산없음",_xlfn.IFS(F26&gt;=90,"우수",F26&gt;=70,"보통",TRUE,"부진"))</f>
        <v/>
      </c>
    </row>
    <row r="27">
      <c r="A27" s="5" t="inlineStr">
        <is>
          <t>D03</t>
        </is>
      </c>
      <c r="B27" s="5" t="inlineStr">
        <is>
          <t>저소득층 생계지원</t>
        </is>
      </c>
      <c r="C27" s="6" t="n">
        <v>25000</v>
      </c>
      <c r="D27" s="6" t="n">
        <v>24000</v>
      </c>
      <c r="E27" s="5" t="inlineStr">
        <is>
          <t>2분기</t>
        </is>
      </c>
      <c r="F27" s="5">
        <f>IFERROR(ROUND(D27/C27*100,1),0)</f>
        <v/>
      </c>
      <c r="G27" s="6">
        <f>C27-D27</f>
        <v/>
      </c>
      <c r="H27" s="5">
        <f>_xlfn.XLOOKUP(A27,부서코드표!$A$2:$A$9,부서코드표!$B$2:$B$9,"미등록")</f>
        <v/>
      </c>
      <c r="I27" s="5">
        <f>_xlfn.XLOOKUP(A27,부서코드표!$A$2:$A$9,부서코드표!$C$2:$C$9,"미등록")</f>
        <v/>
      </c>
      <c r="J27" s="5">
        <f>IF(C27=0,"예산없음",_xlfn.IFS(F27&gt;=90,"우수",F27&gt;=70,"보통",TRUE,"부진"))</f>
        <v/>
      </c>
    </row>
    <row r="28">
      <c r="A28" s="5" t="inlineStr">
        <is>
          <t>D03</t>
        </is>
      </c>
      <c r="B28" s="5" t="inlineStr">
        <is>
          <t>저소득층 생계지원</t>
        </is>
      </c>
      <c r="C28" s="6" t="n">
        <v>32700</v>
      </c>
      <c r="D28" s="6" t="n">
        <v>29100</v>
      </c>
      <c r="E28" s="5" t="inlineStr">
        <is>
          <t>3분기</t>
        </is>
      </c>
      <c r="F28" s="5">
        <f>IFERROR(ROUND(D28/C28*100,1),0)</f>
        <v/>
      </c>
      <c r="G28" s="6">
        <f>C28-D28</f>
        <v/>
      </c>
      <c r="H28" s="5">
        <f>_xlfn.XLOOKUP(A28,부서코드표!$A$2:$A$9,부서코드표!$B$2:$B$9,"미등록")</f>
        <v/>
      </c>
      <c r="I28" s="5">
        <f>_xlfn.XLOOKUP(A28,부서코드표!$A$2:$A$9,부서코드표!$C$2:$C$9,"미등록")</f>
        <v/>
      </c>
      <c r="J28" s="5">
        <f>IF(C28=0,"예산없음",_xlfn.IFS(F28&gt;=90,"우수",F28&gt;=70,"보통",TRUE,"부진"))</f>
        <v/>
      </c>
    </row>
    <row r="29">
      <c r="A29" s="5" t="inlineStr">
        <is>
          <t>D03</t>
        </is>
      </c>
      <c r="B29" s="5" t="inlineStr">
        <is>
          <t>저소득층 생계지원</t>
        </is>
      </c>
      <c r="C29" s="6" t="n">
        <v>42600</v>
      </c>
      <c r="D29" s="6" t="n">
        <v>27000</v>
      </c>
      <c r="E29" s="5" t="inlineStr">
        <is>
          <t>4분기</t>
        </is>
      </c>
      <c r="F29" s="5">
        <f>IFERROR(ROUND(D29/C29*100,1),0)</f>
        <v/>
      </c>
      <c r="G29" s="6">
        <f>C29-D29</f>
        <v/>
      </c>
      <c r="H29" s="5">
        <f>_xlfn.XLOOKUP(A29,부서코드표!$A$2:$A$9,부서코드표!$B$2:$B$9,"미등록")</f>
        <v/>
      </c>
      <c r="I29" s="5">
        <f>_xlfn.XLOOKUP(A29,부서코드표!$A$2:$A$9,부서코드표!$C$2:$C$9,"미등록")</f>
        <v/>
      </c>
      <c r="J29" s="5">
        <f>IF(C29=0,"예산없음",_xlfn.IFS(F29&gt;=90,"우수",F29&gt;=70,"보통",TRUE,"부진"))</f>
        <v/>
      </c>
    </row>
    <row r="30">
      <c r="A30" s="5" t="inlineStr">
        <is>
          <t>D03</t>
        </is>
      </c>
      <c r="B30" s="5" t="inlineStr">
        <is>
          <t>노인돌봄서비스</t>
        </is>
      </c>
      <c r="C30" s="6" t="n">
        <v>20900</v>
      </c>
      <c r="D30" s="6" t="n">
        <v>17400</v>
      </c>
      <c r="E30" s="5" t="inlineStr">
        <is>
          <t>1분기</t>
        </is>
      </c>
      <c r="F30" s="5">
        <f>IFERROR(ROUND(D30/C30*100,1),0)</f>
        <v/>
      </c>
      <c r="G30" s="6">
        <f>C30-D30</f>
        <v/>
      </c>
      <c r="H30" s="5">
        <f>_xlfn.XLOOKUP(A30,부서코드표!$A$2:$A$9,부서코드표!$B$2:$B$9,"미등록")</f>
        <v/>
      </c>
      <c r="I30" s="5">
        <f>_xlfn.XLOOKUP(A30,부서코드표!$A$2:$A$9,부서코드표!$C$2:$C$9,"미등록")</f>
        <v/>
      </c>
      <c r="J30" s="5">
        <f>IF(C30=0,"예산없음",_xlfn.IFS(F30&gt;=90,"우수",F30&gt;=70,"보통",TRUE,"부진"))</f>
        <v/>
      </c>
    </row>
    <row r="31">
      <c r="A31" s="5" t="inlineStr">
        <is>
          <t>D03</t>
        </is>
      </c>
      <c r="B31" s="5" t="inlineStr">
        <is>
          <t>노인돌봄서비스</t>
        </is>
      </c>
      <c r="C31" s="6" t="n">
        <v>20200</v>
      </c>
      <c r="D31" s="6" t="n">
        <v>19100</v>
      </c>
      <c r="E31" s="5" t="inlineStr">
        <is>
          <t>2분기</t>
        </is>
      </c>
      <c r="F31" s="5">
        <f>IFERROR(ROUND(D31/C31*100,1),0)</f>
        <v/>
      </c>
      <c r="G31" s="6">
        <f>C31-D31</f>
        <v/>
      </c>
      <c r="H31" s="5">
        <f>_xlfn.XLOOKUP(A31,부서코드표!$A$2:$A$9,부서코드표!$B$2:$B$9,"미등록")</f>
        <v/>
      </c>
      <c r="I31" s="5">
        <f>_xlfn.XLOOKUP(A31,부서코드표!$A$2:$A$9,부서코드표!$C$2:$C$9,"미등록")</f>
        <v/>
      </c>
      <c r="J31" s="5">
        <f>IF(C31=0,"예산없음",_xlfn.IFS(F31&gt;=90,"우수",F31&gt;=70,"보통",TRUE,"부진"))</f>
        <v/>
      </c>
    </row>
    <row r="32">
      <c r="A32" s="5" t="inlineStr">
        <is>
          <t>D03</t>
        </is>
      </c>
      <c r="B32" s="5" t="inlineStr">
        <is>
          <t>노인돌봄서비스</t>
        </is>
      </c>
      <c r="C32" s="6" t="n">
        <v>31700</v>
      </c>
      <c r="D32" s="6" t="n">
        <v>31500</v>
      </c>
      <c r="E32" s="5" t="inlineStr">
        <is>
          <t>3분기</t>
        </is>
      </c>
      <c r="F32" s="5">
        <f>IFERROR(ROUND(D32/C32*100,1),0)</f>
        <v/>
      </c>
      <c r="G32" s="6">
        <f>C32-D32</f>
        <v/>
      </c>
      <c r="H32" s="5">
        <f>_xlfn.XLOOKUP(A32,부서코드표!$A$2:$A$9,부서코드표!$B$2:$B$9,"미등록")</f>
        <v/>
      </c>
      <c r="I32" s="5">
        <f>_xlfn.XLOOKUP(A32,부서코드표!$A$2:$A$9,부서코드표!$C$2:$C$9,"미등록")</f>
        <v/>
      </c>
      <c r="J32" s="5">
        <f>IF(C32=0,"예산없음",_xlfn.IFS(F32&gt;=90,"우수",F32&gt;=70,"보통",TRUE,"부진"))</f>
        <v/>
      </c>
    </row>
    <row r="33">
      <c r="A33" s="5" t="inlineStr">
        <is>
          <t>D03</t>
        </is>
      </c>
      <c r="B33" s="5" t="inlineStr">
        <is>
          <t>노인돌봄서비스</t>
        </is>
      </c>
      <c r="C33" s="6" t="n">
        <v>25700</v>
      </c>
      <c r="D33" s="6" t="n">
        <v>16500</v>
      </c>
      <c r="E33" s="5" t="inlineStr">
        <is>
          <t>4분기</t>
        </is>
      </c>
      <c r="F33" s="5">
        <f>IFERROR(ROUND(D33/C33*100,1),0)</f>
        <v/>
      </c>
      <c r="G33" s="6">
        <f>C33-D33</f>
        <v/>
      </c>
      <c r="H33" s="5">
        <f>_xlfn.XLOOKUP(A33,부서코드표!$A$2:$A$9,부서코드표!$B$2:$B$9,"미등록")</f>
        <v/>
      </c>
      <c r="I33" s="5">
        <f>_xlfn.XLOOKUP(A33,부서코드표!$A$2:$A$9,부서코드표!$C$2:$C$9,"미등록")</f>
        <v/>
      </c>
      <c r="J33" s="5">
        <f>IF(C33=0,"예산없음",_xlfn.IFS(F33&gt;=90,"우수",F33&gt;=70,"보통",TRUE,"부진"))</f>
        <v/>
      </c>
    </row>
    <row r="34">
      <c r="A34" s="5" t="inlineStr">
        <is>
          <t>D03</t>
        </is>
      </c>
      <c r="B34" s="5" t="inlineStr">
        <is>
          <t>장애인 활동지원</t>
        </is>
      </c>
      <c r="C34" s="6" t="n">
        <v>61300</v>
      </c>
      <c r="D34" s="6" t="n">
        <v>50900</v>
      </c>
      <c r="E34" s="5" t="inlineStr">
        <is>
          <t>1분기</t>
        </is>
      </c>
      <c r="F34" s="5">
        <f>IFERROR(ROUND(D34/C34*100,1),0)</f>
        <v/>
      </c>
      <c r="G34" s="6">
        <f>C34-D34</f>
        <v/>
      </c>
      <c r="H34" s="5">
        <f>_xlfn.XLOOKUP(A34,부서코드표!$A$2:$A$9,부서코드표!$B$2:$B$9,"미등록")</f>
        <v/>
      </c>
      <c r="I34" s="5">
        <f>_xlfn.XLOOKUP(A34,부서코드표!$A$2:$A$9,부서코드표!$C$2:$C$9,"미등록")</f>
        <v/>
      </c>
      <c r="J34" s="5">
        <f>IF(C34=0,"예산없음",_xlfn.IFS(F34&gt;=90,"우수",F34&gt;=70,"보통",TRUE,"부진"))</f>
        <v/>
      </c>
    </row>
    <row r="35">
      <c r="A35" s="5" t="inlineStr">
        <is>
          <t>D03</t>
        </is>
      </c>
      <c r="B35" s="5" t="inlineStr">
        <is>
          <t>장애인 활동지원</t>
        </is>
      </c>
      <c r="C35" s="6" t="n">
        <v>44100</v>
      </c>
      <c r="D35" s="6" t="n">
        <v>43100</v>
      </c>
      <c r="E35" s="5" t="inlineStr">
        <is>
          <t>2분기</t>
        </is>
      </c>
      <c r="F35" s="5">
        <f>IFERROR(ROUND(D35/C35*100,1),0)</f>
        <v/>
      </c>
      <c r="G35" s="6">
        <f>C35-D35</f>
        <v/>
      </c>
      <c r="H35" s="5">
        <f>_xlfn.XLOOKUP(A35,부서코드표!$A$2:$A$9,부서코드표!$B$2:$B$9,"미등록")</f>
        <v/>
      </c>
      <c r="I35" s="5">
        <f>_xlfn.XLOOKUP(A35,부서코드표!$A$2:$A$9,부서코드표!$C$2:$C$9,"미등록")</f>
        <v/>
      </c>
      <c r="J35" s="5">
        <f>IF(C35=0,"예산없음",_xlfn.IFS(F35&gt;=90,"우수",F35&gt;=70,"보통",TRUE,"부진"))</f>
        <v/>
      </c>
    </row>
    <row r="36">
      <c r="A36" s="5" t="inlineStr">
        <is>
          <t>D03</t>
        </is>
      </c>
      <c r="B36" s="5" t="inlineStr">
        <is>
          <t>장애인 활동지원</t>
        </is>
      </c>
      <c r="C36" s="6" t="n">
        <v>47600</v>
      </c>
      <c r="D36" s="6" t="n">
        <v>45000</v>
      </c>
      <c r="E36" s="5" t="inlineStr">
        <is>
          <t>3분기</t>
        </is>
      </c>
      <c r="F36" s="5">
        <f>IFERROR(ROUND(D36/C36*100,1),0)</f>
        <v/>
      </c>
      <c r="G36" s="6">
        <f>C36-D36</f>
        <v/>
      </c>
      <c r="H36" s="5">
        <f>_xlfn.XLOOKUP(A36,부서코드표!$A$2:$A$9,부서코드표!$B$2:$B$9,"미등록")</f>
        <v/>
      </c>
      <c r="I36" s="5">
        <f>_xlfn.XLOOKUP(A36,부서코드표!$A$2:$A$9,부서코드표!$C$2:$C$9,"미등록")</f>
        <v/>
      </c>
      <c r="J36" s="5">
        <f>IF(C36=0,"예산없음",_xlfn.IFS(F36&gt;=90,"우수",F36&gt;=70,"보통",TRUE,"부진"))</f>
        <v/>
      </c>
    </row>
    <row r="37">
      <c r="A37" s="5" t="inlineStr">
        <is>
          <t>D03</t>
        </is>
      </c>
      <c r="B37" s="5" t="inlineStr">
        <is>
          <t>장애인 활동지원</t>
        </is>
      </c>
      <c r="C37" s="6" t="n">
        <v>42000</v>
      </c>
      <c r="D37" s="6" t="n">
        <v>29200</v>
      </c>
      <c r="E37" s="5" t="inlineStr">
        <is>
          <t>4분기</t>
        </is>
      </c>
      <c r="F37" s="5">
        <f>IFERROR(ROUND(D37/C37*100,1),0)</f>
        <v/>
      </c>
      <c r="G37" s="6">
        <f>C37-D37</f>
        <v/>
      </c>
      <c r="H37" s="5">
        <f>_xlfn.XLOOKUP(A37,부서코드표!$A$2:$A$9,부서코드표!$B$2:$B$9,"미등록")</f>
        <v/>
      </c>
      <c r="I37" s="5">
        <f>_xlfn.XLOOKUP(A37,부서코드표!$A$2:$A$9,부서코드표!$C$2:$C$9,"미등록")</f>
        <v/>
      </c>
      <c r="J37" s="5">
        <f>IF(C37=0,"예산없음",_xlfn.IFS(F37&gt;=90,"우수",F37&gt;=70,"보통",TRUE,"부진"))</f>
        <v/>
      </c>
    </row>
    <row r="38">
      <c r="A38" s="5" t="inlineStr">
        <is>
          <t>D04</t>
        </is>
      </c>
      <c r="B38" s="5" t="inlineStr">
        <is>
          <t>노후건축물 안전점검</t>
        </is>
      </c>
      <c r="C38" s="6" t="n">
        <v>31600</v>
      </c>
      <c r="D38" s="6" t="n">
        <v>28400</v>
      </c>
      <c r="E38" s="5" t="inlineStr">
        <is>
          <t>1분기</t>
        </is>
      </c>
      <c r="F38" s="5">
        <f>IFERROR(ROUND(D38/C38*100,1),0)</f>
        <v/>
      </c>
      <c r="G38" s="6">
        <f>C38-D38</f>
        <v/>
      </c>
      <c r="H38" s="5">
        <f>_xlfn.XLOOKUP(A38,부서코드표!$A$2:$A$9,부서코드표!$B$2:$B$9,"미등록")</f>
        <v/>
      </c>
      <c r="I38" s="5">
        <f>_xlfn.XLOOKUP(A38,부서코드표!$A$2:$A$9,부서코드표!$C$2:$C$9,"미등록")</f>
        <v/>
      </c>
      <c r="J38" s="5">
        <f>IF(C38=0,"예산없음",_xlfn.IFS(F38&gt;=90,"우수",F38&gt;=70,"보통",TRUE,"부진"))</f>
        <v/>
      </c>
    </row>
    <row r="39">
      <c r="A39" s="5" t="inlineStr">
        <is>
          <t>D04</t>
        </is>
      </c>
      <c r="B39" s="5" t="inlineStr">
        <is>
          <t>노후건축물 안전점검</t>
        </is>
      </c>
      <c r="C39" s="6" t="n">
        <v>52500</v>
      </c>
      <c r="D39" s="6" t="n">
        <v>50000</v>
      </c>
      <c r="E39" s="5" t="inlineStr">
        <is>
          <t>2분기</t>
        </is>
      </c>
      <c r="F39" s="5">
        <f>IFERROR(ROUND(D39/C39*100,1),0)</f>
        <v/>
      </c>
      <c r="G39" s="6">
        <f>C39-D39</f>
        <v/>
      </c>
      <c r="H39" s="5">
        <f>_xlfn.XLOOKUP(A39,부서코드표!$A$2:$A$9,부서코드표!$B$2:$B$9,"미등록")</f>
        <v/>
      </c>
      <c r="I39" s="5">
        <f>_xlfn.XLOOKUP(A39,부서코드표!$A$2:$A$9,부서코드표!$C$2:$C$9,"미등록")</f>
        <v/>
      </c>
      <c r="J39" s="5">
        <f>IF(C39=0,"예산없음",_xlfn.IFS(F39&gt;=90,"우수",F39&gt;=70,"보통",TRUE,"부진"))</f>
        <v/>
      </c>
    </row>
    <row r="40">
      <c r="A40" s="5" t="inlineStr">
        <is>
          <t>D04</t>
        </is>
      </c>
      <c r="B40" s="5" t="inlineStr">
        <is>
          <t>노후건축물 안전점검</t>
        </is>
      </c>
      <c r="C40" s="6" t="n">
        <v>50400</v>
      </c>
      <c r="D40" s="6" t="n">
        <v>49100</v>
      </c>
      <c r="E40" s="5" t="inlineStr">
        <is>
          <t>3분기</t>
        </is>
      </c>
      <c r="F40" s="5">
        <f>IFERROR(ROUND(D40/C40*100,1),0)</f>
        <v/>
      </c>
      <c r="G40" s="6">
        <f>C40-D40</f>
        <v/>
      </c>
      <c r="H40" s="5">
        <f>_xlfn.XLOOKUP(A40,부서코드표!$A$2:$A$9,부서코드표!$B$2:$B$9,"미등록")</f>
        <v/>
      </c>
      <c r="I40" s="5">
        <f>_xlfn.XLOOKUP(A40,부서코드표!$A$2:$A$9,부서코드표!$C$2:$C$9,"미등록")</f>
        <v/>
      </c>
      <c r="J40" s="5">
        <f>IF(C40=0,"예산없음",_xlfn.IFS(F40&gt;=90,"우수",F40&gt;=70,"보통",TRUE,"부진"))</f>
        <v/>
      </c>
    </row>
    <row r="41">
      <c r="A41" s="5" t="inlineStr">
        <is>
          <t>D04</t>
        </is>
      </c>
      <c r="B41" s="5" t="inlineStr">
        <is>
          <t>노후건축물 안전점검</t>
        </is>
      </c>
      <c r="C41" s="6" t="n">
        <v>41300</v>
      </c>
      <c r="D41" s="6" t="n">
        <v>28800</v>
      </c>
      <c r="E41" s="5" t="inlineStr">
        <is>
          <t>4분기</t>
        </is>
      </c>
      <c r="F41" s="5">
        <f>IFERROR(ROUND(D41/C41*100,1),0)</f>
        <v/>
      </c>
      <c r="G41" s="6">
        <f>C41-D41</f>
        <v/>
      </c>
      <c r="H41" s="5">
        <f>_xlfn.XLOOKUP(A41,부서코드표!$A$2:$A$9,부서코드표!$B$2:$B$9,"미등록")</f>
        <v/>
      </c>
      <c r="I41" s="5">
        <f>_xlfn.XLOOKUP(A41,부서코드표!$A$2:$A$9,부서코드표!$C$2:$C$9,"미등록")</f>
        <v/>
      </c>
      <c r="J41" s="5">
        <f>IF(C41=0,"예산없음",_xlfn.IFS(F41&gt;=90,"우수",F41&gt;=70,"보통",TRUE,"부진"))</f>
        <v/>
      </c>
    </row>
    <row r="42">
      <c r="A42" s="5" t="inlineStr">
        <is>
          <t>D04</t>
        </is>
      </c>
      <c r="B42" s="5" t="inlineStr">
        <is>
          <t>빈집 정비</t>
        </is>
      </c>
      <c r="C42" s="6" t="n">
        <v>0</v>
      </c>
      <c r="D42" s="6" t="n">
        <v>0</v>
      </c>
      <c r="E42" s="5" t="inlineStr">
        <is>
          <t>1분기</t>
        </is>
      </c>
      <c r="F42" s="5">
        <f>IFERROR(ROUND(D42/C42*100,1),0)</f>
        <v/>
      </c>
      <c r="G42" s="6">
        <f>C42-D42</f>
        <v/>
      </c>
      <c r="H42" s="5">
        <f>_xlfn.XLOOKUP(A42,부서코드표!$A$2:$A$9,부서코드표!$B$2:$B$9,"미등록")</f>
        <v/>
      </c>
      <c r="I42" s="5">
        <f>_xlfn.XLOOKUP(A42,부서코드표!$A$2:$A$9,부서코드표!$C$2:$C$9,"미등록")</f>
        <v/>
      </c>
      <c r="J42" s="5">
        <f>IF(C42=0,"예산없음",_xlfn.IFS(F42&gt;=90,"우수",F42&gt;=70,"보통",TRUE,"부진"))</f>
        <v/>
      </c>
    </row>
    <row r="43">
      <c r="A43" s="5" t="inlineStr">
        <is>
          <t>D04</t>
        </is>
      </c>
      <c r="B43" s="5" t="inlineStr">
        <is>
          <t>빈집 정비</t>
        </is>
      </c>
      <c r="C43" s="6" t="n">
        <v>43600</v>
      </c>
      <c r="D43" s="6" t="n">
        <v>20100</v>
      </c>
      <c r="E43" s="5" t="inlineStr">
        <is>
          <t>2분기</t>
        </is>
      </c>
      <c r="F43" s="5">
        <f>IFERROR(ROUND(D43/C43*100,1),0)</f>
        <v/>
      </c>
      <c r="G43" s="6">
        <f>C43-D43</f>
        <v/>
      </c>
      <c r="H43" s="5">
        <f>_xlfn.XLOOKUP(A43,부서코드표!$A$2:$A$9,부서코드표!$B$2:$B$9,"미등록")</f>
        <v/>
      </c>
      <c r="I43" s="5">
        <f>_xlfn.XLOOKUP(A43,부서코드표!$A$2:$A$9,부서코드표!$C$2:$C$9,"미등록")</f>
        <v/>
      </c>
      <c r="J43" s="5">
        <f>IF(C43=0,"예산없음",_xlfn.IFS(F43&gt;=90,"우수",F43&gt;=70,"보통",TRUE,"부진"))</f>
        <v/>
      </c>
    </row>
    <row r="44">
      <c r="A44" s="5" t="inlineStr">
        <is>
          <t>D04</t>
        </is>
      </c>
      <c r="B44" s="5" t="inlineStr">
        <is>
          <t>빈집 정비</t>
        </is>
      </c>
      <c r="C44" s="6" t="n">
        <v>61800</v>
      </c>
      <c r="D44" s="6" t="n">
        <v>33400</v>
      </c>
      <c r="E44" s="5" t="inlineStr">
        <is>
          <t>3분기</t>
        </is>
      </c>
      <c r="F44" s="5">
        <f>IFERROR(ROUND(D44/C44*100,1),0)</f>
        <v/>
      </c>
      <c r="G44" s="6">
        <f>C44-D44</f>
        <v/>
      </c>
      <c r="H44" s="5">
        <f>_xlfn.XLOOKUP(A44,부서코드표!$A$2:$A$9,부서코드표!$B$2:$B$9,"미등록")</f>
        <v/>
      </c>
      <c r="I44" s="5">
        <f>_xlfn.XLOOKUP(A44,부서코드표!$A$2:$A$9,부서코드표!$C$2:$C$9,"미등록")</f>
        <v/>
      </c>
      <c r="J44" s="5">
        <f>IF(C44=0,"예산없음",_xlfn.IFS(F44&gt;=90,"우수",F44&gt;=70,"보통",TRUE,"부진"))</f>
        <v/>
      </c>
    </row>
    <row r="45">
      <c r="A45" s="5" t="inlineStr">
        <is>
          <t>D04</t>
        </is>
      </c>
      <c r="B45" s="5" t="inlineStr">
        <is>
          <t>빈집 정비</t>
        </is>
      </c>
      <c r="C45" s="6" t="n">
        <v>52200</v>
      </c>
      <c r="D45" s="6" t="n">
        <v>17800</v>
      </c>
      <c r="E45" s="5" t="inlineStr">
        <is>
          <t>4분기</t>
        </is>
      </c>
      <c r="F45" s="5">
        <f>IFERROR(ROUND(D45/C45*100,1),0)</f>
        <v/>
      </c>
      <c r="G45" s="6">
        <f>C45-D45</f>
        <v/>
      </c>
      <c r="H45" s="5">
        <f>_xlfn.XLOOKUP(A45,부서코드표!$A$2:$A$9,부서코드표!$B$2:$B$9,"미등록")</f>
        <v/>
      </c>
      <c r="I45" s="5">
        <f>_xlfn.XLOOKUP(A45,부서코드표!$A$2:$A$9,부서코드표!$C$2:$C$9,"미등록")</f>
        <v/>
      </c>
      <c r="J45" s="5">
        <f>IF(C45=0,"예산없음",_xlfn.IFS(F45&gt;=90,"우수",F45&gt;=70,"보통",TRUE,"부진"))</f>
        <v/>
      </c>
    </row>
    <row r="46">
      <c r="A46" s="5" t="inlineStr">
        <is>
          <t>D04</t>
        </is>
      </c>
      <c r="B46" s="5" t="inlineStr">
        <is>
          <t>건축 인허가 시스템 운영</t>
        </is>
      </c>
      <c r="C46" s="6" t="n">
        <v>55100</v>
      </c>
      <c r="D46" s="6" t="n">
        <v>49600</v>
      </c>
      <c r="E46" s="5" t="inlineStr">
        <is>
          <t>1분기</t>
        </is>
      </c>
      <c r="F46" s="5">
        <f>IFERROR(ROUND(D46/C46*100,1),0)</f>
        <v/>
      </c>
      <c r="G46" s="6">
        <f>C46-D46</f>
        <v/>
      </c>
      <c r="H46" s="5">
        <f>_xlfn.XLOOKUP(A46,부서코드표!$A$2:$A$9,부서코드표!$B$2:$B$9,"미등록")</f>
        <v/>
      </c>
      <c r="I46" s="5">
        <f>_xlfn.XLOOKUP(A46,부서코드표!$A$2:$A$9,부서코드표!$C$2:$C$9,"미등록")</f>
        <v/>
      </c>
      <c r="J46" s="5">
        <f>IF(C46=0,"예산없음",_xlfn.IFS(F46&gt;=90,"우수",F46&gt;=70,"보통",TRUE,"부진"))</f>
        <v/>
      </c>
    </row>
    <row r="47">
      <c r="A47" s="5" t="inlineStr">
        <is>
          <t>D04</t>
        </is>
      </c>
      <c r="B47" s="5" t="inlineStr">
        <is>
          <t>건축 인허가 시스템 운영</t>
        </is>
      </c>
      <c r="C47" s="6" t="n">
        <v>50000</v>
      </c>
      <c r="D47" s="6" t="n">
        <v>48100</v>
      </c>
      <c r="E47" s="5" t="inlineStr">
        <is>
          <t>2분기</t>
        </is>
      </c>
      <c r="F47" s="5">
        <f>IFERROR(ROUND(D47/C47*100,1),0)</f>
        <v/>
      </c>
      <c r="G47" s="6">
        <f>C47-D47</f>
        <v/>
      </c>
      <c r="H47" s="5">
        <f>_xlfn.XLOOKUP(A47,부서코드표!$A$2:$A$9,부서코드표!$B$2:$B$9,"미등록")</f>
        <v/>
      </c>
      <c r="I47" s="5">
        <f>_xlfn.XLOOKUP(A47,부서코드표!$A$2:$A$9,부서코드표!$C$2:$C$9,"미등록")</f>
        <v/>
      </c>
      <c r="J47" s="5">
        <f>IF(C47=0,"예산없음",_xlfn.IFS(F47&gt;=90,"우수",F47&gt;=70,"보통",TRUE,"부진"))</f>
        <v/>
      </c>
    </row>
    <row r="48">
      <c r="A48" s="5" t="inlineStr">
        <is>
          <t>D04</t>
        </is>
      </c>
      <c r="B48" s="5" t="inlineStr">
        <is>
          <t>건축 인허가 시스템 운영</t>
        </is>
      </c>
      <c r="C48" s="6" t="n">
        <v>40300</v>
      </c>
      <c r="D48" s="6" t="n">
        <v>38700</v>
      </c>
      <c r="E48" s="5" t="inlineStr">
        <is>
          <t>3분기</t>
        </is>
      </c>
      <c r="F48" s="5">
        <f>IFERROR(ROUND(D48/C48*100,1),0)</f>
        <v/>
      </c>
      <c r="G48" s="6">
        <f>C48-D48</f>
        <v/>
      </c>
      <c r="H48" s="5">
        <f>_xlfn.XLOOKUP(A48,부서코드표!$A$2:$A$9,부서코드표!$B$2:$B$9,"미등록")</f>
        <v/>
      </c>
      <c r="I48" s="5">
        <f>_xlfn.XLOOKUP(A48,부서코드표!$A$2:$A$9,부서코드표!$C$2:$C$9,"미등록")</f>
        <v/>
      </c>
      <c r="J48" s="5">
        <f>IF(C48=0,"예산없음",_xlfn.IFS(F48&gt;=90,"우수",F48&gt;=70,"보통",TRUE,"부진"))</f>
        <v/>
      </c>
    </row>
    <row r="49">
      <c r="A49" s="5" t="inlineStr">
        <is>
          <t>D04</t>
        </is>
      </c>
      <c r="B49" s="5" t="inlineStr">
        <is>
          <t>건축 인허가 시스템 운영</t>
        </is>
      </c>
      <c r="C49" s="6" t="n">
        <v>54400</v>
      </c>
      <c r="D49" s="6" t="n">
        <v>31500</v>
      </c>
      <c r="E49" s="5" t="inlineStr">
        <is>
          <t>4분기</t>
        </is>
      </c>
      <c r="F49" s="5">
        <f>IFERROR(ROUND(D49/C49*100,1),0)</f>
        <v/>
      </c>
      <c r="G49" s="6">
        <f>C49-D49</f>
        <v/>
      </c>
      <c r="H49" s="5">
        <f>_xlfn.XLOOKUP(A49,부서코드표!$A$2:$A$9,부서코드표!$B$2:$B$9,"미등록")</f>
        <v/>
      </c>
      <c r="I49" s="5">
        <f>_xlfn.XLOOKUP(A49,부서코드표!$A$2:$A$9,부서코드표!$C$2:$C$9,"미등록")</f>
        <v/>
      </c>
      <c r="J49" s="5">
        <f>IF(C49=0,"예산없음",_xlfn.IFS(F49&gt;=90,"우수",F49&gt;=70,"보통",TRUE,"부진"))</f>
        <v/>
      </c>
    </row>
    <row r="50">
      <c r="A50" s="5" t="inlineStr">
        <is>
          <t>D05</t>
        </is>
      </c>
      <c r="B50" s="5" t="inlineStr">
        <is>
          <t>버스정류장 개선</t>
        </is>
      </c>
      <c r="C50" s="6" t="n">
        <v>52000</v>
      </c>
      <c r="D50" s="6" t="n">
        <v>44100</v>
      </c>
      <c r="E50" s="5" t="inlineStr">
        <is>
          <t>1분기</t>
        </is>
      </c>
      <c r="F50" s="5">
        <f>IFERROR(ROUND(D50/C50*100,1),0)</f>
        <v/>
      </c>
      <c r="G50" s="6">
        <f>C50-D50</f>
        <v/>
      </c>
      <c r="H50" s="5">
        <f>_xlfn.XLOOKUP(A50,부서코드표!$A$2:$A$9,부서코드표!$B$2:$B$9,"미등록")</f>
        <v/>
      </c>
      <c r="I50" s="5">
        <f>_xlfn.XLOOKUP(A50,부서코드표!$A$2:$A$9,부서코드표!$C$2:$C$9,"미등록")</f>
        <v/>
      </c>
      <c r="J50" s="5">
        <f>IF(C50=0,"예산없음",_xlfn.IFS(F50&gt;=90,"우수",F50&gt;=70,"보통",TRUE,"부진"))</f>
        <v/>
      </c>
    </row>
    <row r="51">
      <c r="A51" s="5" t="inlineStr">
        <is>
          <t>D05</t>
        </is>
      </c>
      <c r="B51" s="5" t="inlineStr">
        <is>
          <t>버스정류장 개선</t>
        </is>
      </c>
      <c r="C51" s="6" t="n">
        <v>45800</v>
      </c>
      <c r="D51" s="6" t="n">
        <v>43800</v>
      </c>
      <c r="E51" s="5" t="inlineStr">
        <is>
          <t>2분기</t>
        </is>
      </c>
      <c r="F51" s="5">
        <f>IFERROR(ROUND(D51/C51*100,1),0)</f>
        <v/>
      </c>
      <c r="G51" s="6">
        <f>C51-D51</f>
        <v/>
      </c>
      <c r="H51" s="5">
        <f>_xlfn.XLOOKUP(A51,부서코드표!$A$2:$A$9,부서코드표!$B$2:$B$9,"미등록")</f>
        <v/>
      </c>
      <c r="I51" s="5">
        <f>_xlfn.XLOOKUP(A51,부서코드표!$A$2:$A$9,부서코드표!$C$2:$C$9,"미등록")</f>
        <v/>
      </c>
      <c r="J51" s="5">
        <f>IF(C51=0,"예산없음",_xlfn.IFS(F51&gt;=90,"우수",F51&gt;=70,"보통",TRUE,"부진"))</f>
        <v/>
      </c>
    </row>
    <row r="52">
      <c r="A52" s="5" t="inlineStr">
        <is>
          <t>D05</t>
        </is>
      </c>
      <c r="B52" s="5" t="inlineStr">
        <is>
          <t>버스정류장 개선</t>
        </is>
      </c>
      <c r="C52" s="6" t="n">
        <v>57100</v>
      </c>
      <c r="D52" s="6" t="n">
        <v>47100</v>
      </c>
      <c r="E52" s="5" t="inlineStr">
        <is>
          <t>3분기</t>
        </is>
      </c>
      <c r="F52" s="5">
        <f>IFERROR(ROUND(D52/C52*100,1),0)</f>
        <v/>
      </c>
      <c r="G52" s="6">
        <f>C52-D52</f>
        <v/>
      </c>
      <c r="H52" s="5">
        <f>_xlfn.XLOOKUP(A52,부서코드표!$A$2:$A$9,부서코드표!$B$2:$B$9,"미등록")</f>
        <v/>
      </c>
      <c r="I52" s="5">
        <f>_xlfn.XLOOKUP(A52,부서코드표!$A$2:$A$9,부서코드표!$C$2:$C$9,"미등록")</f>
        <v/>
      </c>
      <c r="J52" s="5">
        <f>IF(C52=0,"예산없음",_xlfn.IFS(F52&gt;=90,"우수",F52&gt;=70,"보통",TRUE,"부진"))</f>
        <v/>
      </c>
    </row>
    <row r="53">
      <c r="A53" s="5" t="inlineStr">
        <is>
          <t>D05</t>
        </is>
      </c>
      <c r="B53" s="5" t="inlineStr">
        <is>
          <t>버스정류장 개선</t>
        </is>
      </c>
      <c r="C53" s="6" t="n">
        <v>39100</v>
      </c>
      <c r="D53" s="6" t="n">
        <v>20400</v>
      </c>
      <c r="E53" s="5" t="inlineStr">
        <is>
          <t>4분기</t>
        </is>
      </c>
      <c r="F53" s="5">
        <f>IFERROR(ROUND(D53/C53*100,1),0)</f>
        <v/>
      </c>
      <c r="G53" s="6">
        <f>C53-D53</f>
        <v/>
      </c>
      <c r="H53" s="5">
        <f>_xlfn.XLOOKUP(A53,부서코드표!$A$2:$A$9,부서코드표!$B$2:$B$9,"미등록")</f>
        <v/>
      </c>
      <c r="I53" s="5">
        <f>_xlfn.XLOOKUP(A53,부서코드표!$A$2:$A$9,부서코드표!$C$2:$C$9,"미등록")</f>
        <v/>
      </c>
      <c r="J53" s="5">
        <f>IF(C53=0,"예산없음",_xlfn.IFS(F53&gt;=90,"우수",F53&gt;=70,"보통",TRUE,"부진"))</f>
        <v/>
      </c>
    </row>
    <row r="54">
      <c r="A54" s="5" t="inlineStr">
        <is>
          <t>D05</t>
        </is>
      </c>
      <c r="B54" s="5" t="inlineStr">
        <is>
          <t>주정차 단속 장비</t>
        </is>
      </c>
      <c r="C54" s="6" t="n">
        <v>56300</v>
      </c>
      <c r="D54" s="6" t="n">
        <v>54900</v>
      </c>
      <c r="E54" s="5" t="inlineStr">
        <is>
          <t>1분기</t>
        </is>
      </c>
      <c r="F54" s="5">
        <f>IFERROR(ROUND(D54/C54*100,1),0)</f>
        <v/>
      </c>
      <c r="G54" s="6">
        <f>C54-D54</f>
        <v/>
      </c>
      <c r="H54" s="5">
        <f>_xlfn.XLOOKUP(A54,부서코드표!$A$2:$A$9,부서코드표!$B$2:$B$9,"미등록")</f>
        <v/>
      </c>
      <c r="I54" s="5">
        <f>_xlfn.XLOOKUP(A54,부서코드표!$A$2:$A$9,부서코드표!$C$2:$C$9,"미등록")</f>
        <v/>
      </c>
      <c r="J54" s="5">
        <f>IF(C54=0,"예산없음",_xlfn.IFS(F54&gt;=90,"우수",F54&gt;=70,"보통",TRUE,"부진"))</f>
        <v/>
      </c>
    </row>
    <row r="55">
      <c r="A55" s="5" t="inlineStr">
        <is>
          <t>D05</t>
        </is>
      </c>
      <c r="B55" s="5" t="inlineStr">
        <is>
          <t>주정차 단속 장비</t>
        </is>
      </c>
      <c r="C55" s="6" t="n">
        <v>31100</v>
      </c>
      <c r="D55" s="6" t="n">
        <v>28700</v>
      </c>
      <c r="E55" s="5" t="inlineStr">
        <is>
          <t>2분기</t>
        </is>
      </c>
      <c r="F55" s="5">
        <f>IFERROR(ROUND(D55/C55*100,1),0)</f>
        <v/>
      </c>
      <c r="G55" s="6">
        <f>C55-D55</f>
        <v/>
      </c>
      <c r="H55" s="5">
        <f>_xlfn.XLOOKUP(A55,부서코드표!$A$2:$A$9,부서코드표!$B$2:$B$9,"미등록")</f>
        <v/>
      </c>
      <c r="I55" s="5">
        <f>_xlfn.XLOOKUP(A55,부서코드표!$A$2:$A$9,부서코드표!$C$2:$C$9,"미등록")</f>
        <v/>
      </c>
      <c r="J55" s="5">
        <f>IF(C55=0,"예산없음",_xlfn.IFS(F55&gt;=90,"우수",F55&gt;=70,"보통",TRUE,"부진"))</f>
        <v/>
      </c>
    </row>
    <row r="56">
      <c r="A56" s="5" t="inlineStr">
        <is>
          <t>D05</t>
        </is>
      </c>
      <c r="B56" s="5" t="inlineStr">
        <is>
          <t>주정차 단속 장비</t>
        </is>
      </c>
      <c r="C56" s="6" t="n">
        <v>33200</v>
      </c>
      <c r="D56" s="6" t="n">
        <v>30500</v>
      </c>
      <c r="E56" s="5" t="inlineStr">
        <is>
          <t>3분기</t>
        </is>
      </c>
      <c r="F56" s="5">
        <f>IFERROR(ROUND(D56/C56*100,1),0)</f>
        <v/>
      </c>
      <c r="G56" s="6">
        <f>C56-D56</f>
        <v/>
      </c>
      <c r="H56" s="5">
        <f>_xlfn.XLOOKUP(A56,부서코드표!$A$2:$A$9,부서코드표!$B$2:$B$9,"미등록")</f>
        <v/>
      </c>
      <c r="I56" s="5">
        <f>_xlfn.XLOOKUP(A56,부서코드표!$A$2:$A$9,부서코드표!$C$2:$C$9,"미등록")</f>
        <v/>
      </c>
      <c r="J56" s="5">
        <f>IF(C56=0,"예산없음",_xlfn.IFS(F56&gt;=90,"우수",F56&gt;=70,"보통",TRUE,"부진"))</f>
        <v/>
      </c>
    </row>
    <row r="57">
      <c r="A57" s="5" t="inlineStr">
        <is>
          <t>D05</t>
        </is>
      </c>
      <c r="B57" s="5" t="inlineStr">
        <is>
          <t>주정차 단속 장비</t>
        </is>
      </c>
      <c r="C57" s="6" t="n">
        <v>35900</v>
      </c>
      <c r="D57" s="6" t="n">
        <v>20400</v>
      </c>
      <c r="E57" s="5" t="inlineStr">
        <is>
          <t>4분기</t>
        </is>
      </c>
      <c r="F57" s="5">
        <f>IFERROR(ROUND(D57/C57*100,1),0)</f>
        <v/>
      </c>
      <c r="G57" s="6">
        <f>C57-D57</f>
        <v/>
      </c>
      <c r="H57" s="5">
        <f>_xlfn.XLOOKUP(A57,부서코드표!$A$2:$A$9,부서코드표!$B$2:$B$9,"미등록")</f>
        <v/>
      </c>
      <c r="I57" s="5">
        <f>_xlfn.XLOOKUP(A57,부서코드표!$A$2:$A$9,부서코드표!$C$2:$C$9,"미등록")</f>
        <v/>
      </c>
      <c r="J57" s="5">
        <f>IF(C57=0,"예산없음",_xlfn.IFS(F57&gt;=90,"우수",F57&gt;=70,"보통",TRUE,"부진"))</f>
        <v/>
      </c>
    </row>
    <row r="58">
      <c r="A58" s="5" t="inlineStr">
        <is>
          <t>D05</t>
        </is>
      </c>
      <c r="B58" s="5" t="inlineStr">
        <is>
          <t>스마트 신호등</t>
        </is>
      </c>
      <c r="C58" s="6" t="n">
        <v>18300</v>
      </c>
      <c r="D58" s="6" t="n">
        <v>7400</v>
      </c>
      <c r="E58" s="5" t="inlineStr">
        <is>
          <t>1분기</t>
        </is>
      </c>
      <c r="F58" s="5">
        <f>IFERROR(ROUND(D58/C58*100,1),0)</f>
        <v/>
      </c>
      <c r="G58" s="6">
        <f>C58-D58</f>
        <v/>
      </c>
      <c r="H58" s="5">
        <f>_xlfn.XLOOKUP(A58,부서코드표!$A$2:$A$9,부서코드표!$B$2:$B$9,"미등록")</f>
        <v/>
      </c>
      <c r="I58" s="5">
        <f>_xlfn.XLOOKUP(A58,부서코드표!$A$2:$A$9,부서코드표!$C$2:$C$9,"미등록")</f>
        <v/>
      </c>
      <c r="J58" s="5">
        <f>IF(C58=0,"예산없음",_xlfn.IFS(F58&gt;=90,"우수",F58&gt;=70,"보통",TRUE,"부진"))</f>
        <v/>
      </c>
    </row>
    <row r="59">
      <c r="A59" s="5" t="inlineStr">
        <is>
          <t>D05</t>
        </is>
      </c>
      <c r="B59" s="5" t="inlineStr">
        <is>
          <t>스마트 신호등</t>
        </is>
      </c>
      <c r="C59" s="6" t="n">
        <v>12800</v>
      </c>
      <c r="D59" s="6" t="n">
        <v>7000</v>
      </c>
      <c r="E59" s="5" t="inlineStr">
        <is>
          <t>2분기</t>
        </is>
      </c>
      <c r="F59" s="5">
        <f>IFERROR(ROUND(D59/C59*100,1),0)</f>
        <v/>
      </c>
      <c r="G59" s="6">
        <f>C59-D59</f>
        <v/>
      </c>
      <c r="H59" s="5">
        <f>_xlfn.XLOOKUP(A59,부서코드표!$A$2:$A$9,부서코드표!$B$2:$B$9,"미등록")</f>
        <v/>
      </c>
      <c r="I59" s="5">
        <f>_xlfn.XLOOKUP(A59,부서코드표!$A$2:$A$9,부서코드표!$C$2:$C$9,"미등록")</f>
        <v/>
      </c>
      <c r="J59" s="5">
        <f>IF(C59=0,"예산없음",_xlfn.IFS(F59&gt;=90,"우수",F59&gt;=70,"보통",TRUE,"부진"))</f>
        <v/>
      </c>
    </row>
    <row r="60">
      <c r="A60" s="5" t="inlineStr">
        <is>
          <t>D05</t>
        </is>
      </c>
      <c r="B60" s="5" t="inlineStr">
        <is>
          <t>스마트 신호등</t>
        </is>
      </c>
      <c r="C60" s="6" t="n">
        <v>17900</v>
      </c>
      <c r="D60" s="6" t="n">
        <v>11500</v>
      </c>
      <c r="E60" s="5" t="inlineStr">
        <is>
          <t>3분기</t>
        </is>
      </c>
      <c r="F60" s="5">
        <f>IFERROR(ROUND(D60/C60*100,1),0)</f>
        <v/>
      </c>
      <c r="G60" s="6">
        <f>C60-D60</f>
        <v/>
      </c>
      <c r="H60" s="5">
        <f>_xlfn.XLOOKUP(A60,부서코드표!$A$2:$A$9,부서코드표!$B$2:$B$9,"미등록")</f>
        <v/>
      </c>
      <c r="I60" s="5">
        <f>_xlfn.XLOOKUP(A60,부서코드표!$A$2:$A$9,부서코드표!$C$2:$C$9,"미등록")</f>
        <v/>
      </c>
      <c r="J60" s="5">
        <f>IF(C60=0,"예산없음",_xlfn.IFS(F60&gt;=90,"우수",F60&gt;=70,"보통",TRUE,"부진"))</f>
        <v/>
      </c>
    </row>
    <row r="61">
      <c r="A61" s="5" t="inlineStr">
        <is>
          <t>D05</t>
        </is>
      </c>
      <c r="B61" s="5" t="inlineStr">
        <is>
          <t>스마트 신호등</t>
        </is>
      </c>
      <c r="C61" s="6" t="n">
        <v>12300</v>
      </c>
      <c r="D61" s="6" t="n">
        <v>3400</v>
      </c>
      <c r="E61" s="5" t="inlineStr">
        <is>
          <t>4분기</t>
        </is>
      </c>
      <c r="F61" s="5">
        <f>IFERROR(ROUND(D61/C61*100,1),0)</f>
        <v/>
      </c>
      <c r="G61" s="6">
        <f>C61-D61</f>
        <v/>
      </c>
      <c r="H61" s="5">
        <f>_xlfn.XLOOKUP(A61,부서코드표!$A$2:$A$9,부서코드표!$B$2:$B$9,"미등록")</f>
        <v/>
      </c>
      <c r="I61" s="5">
        <f>_xlfn.XLOOKUP(A61,부서코드표!$A$2:$A$9,부서코드표!$C$2:$C$9,"미등록")</f>
        <v/>
      </c>
      <c r="J61" s="5">
        <f>IF(C61=0,"예산없음",_xlfn.IFS(F61&gt;=90,"우수",F61&gt;=70,"보통",TRUE,"부진"))</f>
        <v/>
      </c>
    </row>
    <row r="62">
      <c r="A62" s="5" t="inlineStr">
        <is>
          <t>D06</t>
        </is>
      </c>
      <c r="B62" s="5" t="inlineStr">
        <is>
          <t>민원실 환경개선</t>
        </is>
      </c>
      <c r="C62" s="6" t="n">
        <v>15100</v>
      </c>
      <c r="D62" s="6" t="n">
        <v>14000</v>
      </c>
      <c r="E62" s="5" t="inlineStr">
        <is>
          <t>1분기</t>
        </is>
      </c>
      <c r="F62" s="5">
        <f>IFERROR(ROUND(D62/C62*100,1),0)</f>
        <v/>
      </c>
      <c r="G62" s="6">
        <f>C62-D62</f>
        <v/>
      </c>
      <c r="H62" s="5">
        <f>_xlfn.XLOOKUP(A62,부서코드표!$A$2:$A$9,부서코드표!$B$2:$B$9,"미등록")</f>
        <v/>
      </c>
      <c r="I62" s="5">
        <f>_xlfn.XLOOKUP(A62,부서코드표!$A$2:$A$9,부서코드표!$C$2:$C$9,"미등록")</f>
        <v/>
      </c>
      <c r="J62" s="5">
        <f>IF(C62=0,"예산없음",_xlfn.IFS(F62&gt;=90,"우수",F62&gt;=70,"보통",TRUE,"부진"))</f>
        <v/>
      </c>
    </row>
    <row r="63">
      <c r="A63" s="5" t="inlineStr">
        <is>
          <t>D06</t>
        </is>
      </c>
      <c r="B63" s="5" t="inlineStr">
        <is>
          <t>민원실 환경개선</t>
        </is>
      </c>
      <c r="C63" s="6" t="n">
        <v>15900</v>
      </c>
      <c r="D63" s="6" t="n">
        <v>13600</v>
      </c>
      <c r="E63" s="5" t="inlineStr">
        <is>
          <t>2분기</t>
        </is>
      </c>
      <c r="F63" s="5">
        <f>IFERROR(ROUND(D63/C63*100,1),0)</f>
        <v/>
      </c>
      <c r="G63" s="6">
        <f>C63-D63</f>
        <v/>
      </c>
      <c r="H63" s="5">
        <f>_xlfn.XLOOKUP(A63,부서코드표!$A$2:$A$9,부서코드표!$B$2:$B$9,"미등록")</f>
        <v/>
      </c>
      <c r="I63" s="5">
        <f>_xlfn.XLOOKUP(A63,부서코드표!$A$2:$A$9,부서코드표!$C$2:$C$9,"미등록")</f>
        <v/>
      </c>
      <c r="J63" s="5">
        <f>IF(C63=0,"예산없음",_xlfn.IFS(F63&gt;=90,"우수",F63&gt;=70,"보통",TRUE,"부진"))</f>
        <v/>
      </c>
    </row>
    <row r="64">
      <c r="A64" s="5" t="inlineStr">
        <is>
          <t>D06</t>
        </is>
      </c>
      <c r="B64" s="5" t="inlineStr">
        <is>
          <t>민원실 환경개선</t>
        </is>
      </c>
      <c r="C64" s="6" t="n">
        <v>18700</v>
      </c>
      <c r="D64" s="6" t="n">
        <v>18500</v>
      </c>
      <c r="E64" s="5" t="inlineStr">
        <is>
          <t>3분기</t>
        </is>
      </c>
      <c r="F64" s="5">
        <f>IFERROR(ROUND(D64/C64*100,1),0)</f>
        <v/>
      </c>
      <c r="G64" s="6">
        <f>C64-D64</f>
        <v/>
      </c>
      <c r="H64" s="5">
        <f>_xlfn.XLOOKUP(A64,부서코드표!$A$2:$A$9,부서코드표!$B$2:$B$9,"미등록")</f>
        <v/>
      </c>
      <c r="I64" s="5">
        <f>_xlfn.XLOOKUP(A64,부서코드표!$A$2:$A$9,부서코드표!$C$2:$C$9,"미등록")</f>
        <v/>
      </c>
      <c r="J64" s="5">
        <f>IF(C64=0,"예산없음",_xlfn.IFS(F64&gt;=90,"우수",F64&gt;=70,"보통",TRUE,"부진"))</f>
        <v/>
      </c>
    </row>
    <row r="65">
      <c r="A65" s="5" t="inlineStr">
        <is>
          <t>D06</t>
        </is>
      </c>
      <c r="B65" s="5" t="inlineStr">
        <is>
          <t>민원실 환경개선</t>
        </is>
      </c>
      <c r="C65" s="6" t="n">
        <v>15900</v>
      </c>
      <c r="D65" s="6" t="n">
        <v>11900</v>
      </c>
      <c r="E65" s="5" t="inlineStr">
        <is>
          <t>4분기</t>
        </is>
      </c>
      <c r="F65" s="5">
        <f>IFERROR(ROUND(D65/C65*100,1),0)</f>
        <v/>
      </c>
      <c r="G65" s="6">
        <f>C65-D65</f>
        <v/>
      </c>
      <c r="H65" s="5">
        <f>_xlfn.XLOOKUP(A65,부서코드표!$A$2:$A$9,부서코드표!$B$2:$B$9,"미등록")</f>
        <v/>
      </c>
      <c r="I65" s="5">
        <f>_xlfn.XLOOKUP(A65,부서코드표!$A$2:$A$9,부서코드표!$C$2:$C$9,"미등록")</f>
        <v/>
      </c>
      <c r="J65" s="5">
        <f>IF(C65=0,"예산없음",_xlfn.IFS(F65&gt;=90,"우수",F65&gt;=70,"보통",TRUE,"부진"))</f>
        <v/>
      </c>
    </row>
    <row r="66">
      <c r="A66" s="5" t="inlineStr">
        <is>
          <t>D06</t>
        </is>
      </c>
      <c r="B66" s="5" t="inlineStr">
        <is>
          <t>무인민원발급기 운영</t>
        </is>
      </c>
      <c r="C66" s="6" t="n">
        <v>39300</v>
      </c>
      <c r="D66" s="6" t="n">
        <v>37900</v>
      </c>
      <c r="E66" s="5" t="inlineStr">
        <is>
          <t>1분기</t>
        </is>
      </c>
      <c r="F66" s="5">
        <f>IFERROR(ROUND(D66/C66*100,1),0)</f>
        <v/>
      </c>
      <c r="G66" s="6">
        <f>C66-D66</f>
        <v/>
      </c>
      <c r="H66" s="5">
        <f>_xlfn.XLOOKUP(A66,부서코드표!$A$2:$A$9,부서코드표!$B$2:$B$9,"미등록")</f>
        <v/>
      </c>
      <c r="I66" s="5">
        <f>_xlfn.XLOOKUP(A66,부서코드표!$A$2:$A$9,부서코드표!$C$2:$C$9,"미등록")</f>
        <v/>
      </c>
      <c r="J66" s="5">
        <f>IF(C66=0,"예산없음",_xlfn.IFS(F66&gt;=90,"우수",F66&gt;=70,"보통",TRUE,"부진"))</f>
        <v/>
      </c>
    </row>
    <row r="67">
      <c r="A67" s="5" t="inlineStr">
        <is>
          <t>D06</t>
        </is>
      </c>
      <c r="B67" s="5" t="inlineStr">
        <is>
          <t>무인민원발급기 운영</t>
        </is>
      </c>
      <c r="C67" s="6" t="n">
        <v>24300</v>
      </c>
      <c r="D67" s="6" t="n">
        <v>22400</v>
      </c>
      <c r="E67" s="5" t="inlineStr">
        <is>
          <t>2분기</t>
        </is>
      </c>
      <c r="F67" s="5">
        <f>IFERROR(ROUND(D67/C67*100,1),0)</f>
        <v/>
      </c>
      <c r="G67" s="6">
        <f>C67-D67</f>
        <v/>
      </c>
      <c r="H67" s="5">
        <f>_xlfn.XLOOKUP(A67,부서코드표!$A$2:$A$9,부서코드표!$B$2:$B$9,"미등록")</f>
        <v/>
      </c>
      <c r="I67" s="5">
        <f>_xlfn.XLOOKUP(A67,부서코드표!$A$2:$A$9,부서코드표!$C$2:$C$9,"미등록")</f>
        <v/>
      </c>
      <c r="J67" s="5">
        <f>IF(C67=0,"예산없음",_xlfn.IFS(F67&gt;=90,"우수",F67&gt;=70,"보통",TRUE,"부진"))</f>
        <v/>
      </c>
    </row>
    <row r="68">
      <c r="A68" s="5" t="inlineStr">
        <is>
          <t>D06</t>
        </is>
      </c>
      <c r="B68" s="5" t="inlineStr">
        <is>
          <t>무인민원발급기 운영</t>
        </is>
      </c>
      <c r="C68" s="6" t="n">
        <v>40200</v>
      </c>
      <c r="D68" s="6" t="n">
        <v>34600</v>
      </c>
      <c r="E68" s="5" t="inlineStr">
        <is>
          <t>3분기</t>
        </is>
      </c>
      <c r="F68" s="5">
        <f>IFERROR(ROUND(D68/C68*100,1),0)</f>
        <v/>
      </c>
      <c r="G68" s="6">
        <f>C68-D68</f>
        <v/>
      </c>
      <c r="H68" s="5">
        <f>_xlfn.XLOOKUP(A68,부서코드표!$A$2:$A$9,부서코드표!$B$2:$B$9,"미등록")</f>
        <v/>
      </c>
      <c r="I68" s="5">
        <f>_xlfn.XLOOKUP(A68,부서코드표!$A$2:$A$9,부서코드표!$C$2:$C$9,"미등록")</f>
        <v/>
      </c>
      <c r="J68" s="5">
        <f>IF(C68=0,"예산없음",_xlfn.IFS(F68&gt;=90,"우수",F68&gt;=70,"보통",TRUE,"부진"))</f>
        <v/>
      </c>
    </row>
    <row r="69">
      <c r="A69" s="5" t="inlineStr">
        <is>
          <t>D06</t>
        </is>
      </c>
      <c r="B69" s="5" t="inlineStr">
        <is>
          <t>무인민원발급기 운영</t>
        </is>
      </c>
      <c r="C69" s="6" t="n">
        <v>28800</v>
      </c>
      <c r="D69" s="6" t="n">
        <v>15100</v>
      </c>
      <c r="E69" s="5" t="inlineStr">
        <is>
          <t>4분기</t>
        </is>
      </c>
      <c r="F69" s="5">
        <f>IFERROR(ROUND(D69/C69*100,1),0)</f>
        <v/>
      </c>
      <c r="G69" s="6">
        <f>C69-D69</f>
        <v/>
      </c>
      <c r="H69" s="5">
        <f>_xlfn.XLOOKUP(A69,부서코드표!$A$2:$A$9,부서코드표!$B$2:$B$9,"미등록")</f>
        <v/>
      </c>
      <c r="I69" s="5">
        <f>_xlfn.XLOOKUP(A69,부서코드표!$A$2:$A$9,부서코드표!$C$2:$C$9,"미등록")</f>
        <v/>
      </c>
      <c r="J69" s="5">
        <f>IF(C69=0,"예산없음",_xlfn.IFS(F69&gt;=90,"우수",F69&gt;=70,"보통",TRUE,"부진"))</f>
        <v/>
      </c>
    </row>
    <row r="70">
      <c r="A70" s="5" t="inlineStr">
        <is>
          <t>D06</t>
        </is>
      </c>
      <c r="B70" s="5" t="inlineStr">
        <is>
          <t>통합민원 콜센터</t>
        </is>
      </c>
      <c r="C70" s="6" t="n">
        <v>27800</v>
      </c>
      <c r="D70" s="6" t="n">
        <v>25100</v>
      </c>
      <c r="E70" s="5" t="inlineStr">
        <is>
          <t>1분기</t>
        </is>
      </c>
      <c r="F70" s="5">
        <f>IFERROR(ROUND(D70/C70*100,1),0)</f>
        <v/>
      </c>
      <c r="G70" s="6">
        <f>C70-D70</f>
        <v/>
      </c>
      <c r="H70" s="5">
        <f>_xlfn.XLOOKUP(A70,부서코드표!$A$2:$A$9,부서코드표!$B$2:$B$9,"미등록")</f>
        <v/>
      </c>
      <c r="I70" s="5">
        <f>_xlfn.XLOOKUP(A70,부서코드표!$A$2:$A$9,부서코드표!$C$2:$C$9,"미등록")</f>
        <v/>
      </c>
      <c r="J70" s="5">
        <f>IF(C70=0,"예산없음",_xlfn.IFS(F70&gt;=90,"우수",F70&gt;=70,"보통",TRUE,"부진"))</f>
        <v/>
      </c>
    </row>
    <row r="71">
      <c r="A71" s="5" t="inlineStr">
        <is>
          <t>D06</t>
        </is>
      </c>
      <c r="B71" s="5" t="inlineStr">
        <is>
          <t>통합민원 콜센터</t>
        </is>
      </c>
      <c r="C71" s="6" t="n">
        <v>43400</v>
      </c>
      <c r="D71" s="6" t="n">
        <v>43000</v>
      </c>
      <c r="E71" s="5" t="inlineStr">
        <is>
          <t>2분기</t>
        </is>
      </c>
      <c r="F71" s="5">
        <f>IFERROR(ROUND(D71/C71*100,1),0)</f>
        <v/>
      </c>
      <c r="G71" s="6">
        <f>C71-D71</f>
        <v/>
      </c>
      <c r="H71" s="5">
        <f>_xlfn.XLOOKUP(A71,부서코드표!$A$2:$A$9,부서코드표!$B$2:$B$9,"미등록")</f>
        <v/>
      </c>
      <c r="I71" s="5">
        <f>_xlfn.XLOOKUP(A71,부서코드표!$A$2:$A$9,부서코드표!$C$2:$C$9,"미등록")</f>
        <v/>
      </c>
      <c r="J71" s="5">
        <f>IF(C71=0,"예산없음",_xlfn.IFS(F71&gt;=90,"우수",F71&gt;=70,"보통",TRUE,"부진"))</f>
        <v/>
      </c>
    </row>
    <row r="72">
      <c r="A72" s="5" t="inlineStr">
        <is>
          <t>D06</t>
        </is>
      </c>
      <c r="B72" s="5" t="inlineStr">
        <is>
          <t>통합민원 콜센터</t>
        </is>
      </c>
      <c r="C72" s="6" t="n">
        <v>39700</v>
      </c>
      <c r="D72" s="6" t="n">
        <v>34000</v>
      </c>
      <c r="E72" s="5" t="inlineStr">
        <is>
          <t>3분기</t>
        </is>
      </c>
      <c r="F72" s="5">
        <f>IFERROR(ROUND(D72/C72*100,1),0)</f>
        <v/>
      </c>
      <c r="G72" s="6">
        <f>C72-D72</f>
        <v/>
      </c>
      <c r="H72" s="5">
        <f>_xlfn.XLOOKUP(A72,부서코드표!$A$2:$A$9,부서코드표!$B$2:$B$9,"미등록")</f>
        <v/>
      </c>
      <c r="I72" s="5">
        <f>_xlfn.XLOOKUP(A72,부서코드표!$A$2:$A$9,부서코드표!$C$2:$C$9,"미등록")</f>
        <v/>
      </c>
      <c r="J72" s="5">
        <f>IF(C72=0,"예산없음",_xlfn.IFS(F72&gt;=90,"우수",F72&gt;=70,"보통",TRUE,"부진"))</f>
        <v/>
      </c>
    </row>
    <row r="73">
      <c r="A73" s="5" t="inlineStr">
        <is>
          <t>D06</t>
        </is>
      </c>
      <c r="B73" s="5" t="inlineStr">
        <is>
          <t>통합민원 콜센터</t>
        </is>
      </c>
      <c r="C73" s="6" t="n">
        <v>27200</v>
      </c>
      <c r="D73" s="6" t="n">
        <v>22700</v>
      </c>
      <c r="E73" s="5" t="inlineStr">
        <is>
          <t>4분기</t>
        </is>
      </c>
      <c r="F73" s="5">
        <f>IFERROR(ROUND(D73/C73*100,1),0)</f>
        <v/>
      </c>
      <c r="G73" s="6">
        <f>C73-D73</f>
        <v/>
      </c>
      <c r="H73" s="5">
        <f>_xlfn.XLOOKUP(A73,부서코드표!$A$2:$A$9,부서코드표!$B$2:$B$9,"미등록")</f>
        <v/>
      </c>
      <c r="I73" s="5">
        <f>_xlfn.XLOOKUP(A73,부서코드표!$A$2:$A$9,부서코드표!$C$2:$C$9,"미등록")</f>
        <v/>
      </c>
      <c r="J73" s="5">
        <f>IF(C73=0,"예산없음",_xlfn.IFS(F73&gt;=90,"우수",F73&gt;=70,"보통",TRUE,"부진"))</f>
        <v/>
      </c>
    </row>
    <row r="74">
      <c r="A74" s="5" t="inlineStr">
        <is>
          <t>D07</t>
        </is>
      </c>
      <c r="B74" s="5" t="inlineStr">
        <is>
          <t>중기재정계획 수립</t>
        </is>
      </c>
      <c r="C74" s="6" t="n">
        <v>11200</v>
      </c>
      <c r="D74" s="6" t="n">
        <v>9800</v>
      </c>
      <c r="E74" s="5" t="inlineStr">
        <is>
          <t>1분기</t>
        </is>
      </c>
      <c r="F74" s="5">
        <f>IFERROR(ROUND(D74/C74*100,1),0)</f>
        <v/>
      </c>
      <c r="G74" s="6">
        <f>C74-D74</f>
        <v/>
      </c>
      <c r="H74" s="5">
        <f>_xlfn.XLOOKUP(A74,부서코드표!$A$2:$A$9,부서코드표!$B$2:$B$9,"미등록")</f>
        <v/>
      </c>
      <c r="I74" s="5">
        <f>_xlfn.XLOOKUP(A74,부서코드표!$A$2:$A$9,부서코드표!$C$2:$C$9,"미등록")</f>
        <v/>
      </c>
      <c r="J74" s="5">
        <f>IF(C74=0,"예산없음",_xlfn.IFS(F74&gt;=90,"우수",F74&gt;=70,"보통",TRUE,"부진"))</f>
        <v/>
      </c>
    </row>
    <row r="75">
      <c r="A75" s="5" t="inlineStr">
        <is>
          <t>D07</t>
        </is>
      </c>
      <c r="B75" s="5" t="inlineStr">
        <is>
          <t>중기재정계획 수립</t>
        </is>
      </c>
      <c r="C75" s="6" t="n">
        <v>8800</v>
      </c>
      <c r="D75" s="6" t="n">
        <v>8700</v>
      </c>
      <c r="E75" s="5" t="inlineStr">
        <is>
          <t>2분기</t>
        </is>
      </c>
      <c r="F75" s="5">
        <f>IFERROR(ROUND(D75/C75*100,1),0)</f>
        <v/>
      </c>
      <c r="G75" s="6">
        <f>C75-D75</f>
        <v/>
      </c>
      <c r="H75" s="5">
        <f>_xlfn.XLOOKUP(A75,부서코드표!$A$2:$A$9,부서코드표!$B$2:$B$9,"미등록")</f>
        <v/>
      </c>
      <c r="I75" s="5">
        <f>_xlfn.XLOOKUP(A75,부서코드표!$A$2:$A$9,부서코드표!$C$2:$C$9,"미등록")</f>
        <v/>
      </c>
      <c r="J75" s="5">
        <f>IF(C75=0,"예산없음",_xlfn.IFS(F75&gt;=90,"우수",F75&gt;=70,"보통",TRUE,"부진"))</f>
        <v/>
      </c>
    </row>
    <row r="76">
      <c r="A76" s="5" t="inlineStr">
        <is>
          <t>D07</t>
        </is>
      </c>
      <c r="B76" s="5" t="inlineStr">
        <is>
          <t>중기재정계획 수립</t>
        </is>
      </c>
      <c r="C76" s="6" t="n">
        <v>14100</v>
      </c>
      <c r="D76" s="6" t="n">
        <v>11700</v>
      </c>
      <c r="E76" s="5" t="inlineStr">
        <is>
          <t>3분기</t>
        </is>
      </c>
      <c r="F76" s="5">
        <f>IFERROR(ROUND(D76/C76*100,1),0)</f>
        <v/>
      </c>
      <c r="G76" s="6">
        <f>C76-D76</f>
        <v/>
      </c>
      <c r="H76" s="5">
        <f>_xlfn.XLOOKUP(A76,부서코드표!$A$2:$A$9,부서코드표!$B$2:$B$9,"미등록")</f>
        <v/>
      </c>
      <c r="I76" s="5">
        <f>_xlfn.XLOOKUP(A76,부서코드표!$A$2:$A$9,부서코드표!$C$2:$C$9,"미등록")</f>
        <v/>
      </c>
      <c r="J76" s="5">
        <f>IF(C76=0,"예산없음",_xlfn.IFS(F76&gt;=90,"우수",F76&gt;=70,"보통",TRUE,"부진"))</f>
        <v/>
      </c>
    </row>
    <row r="77">
      <c r="A77" s="5" t="inlineStr">
        <is>
          <t>D07</t>
        </is>
      </c>
      <c r="B77" s="5" t="inlineStr">
        <is>
          <t>중기재정계획 수립</t>
        </is>
      </c>
      <c r="C77" s="6" t="n">
        <v>8400</v>
      </c>
      <c r="D77" s="6" t="n">
        <v>4700</v>
      </c>
      <c r="E77" s="5" t="inlineStr">
        <is>
          <t>4분기</t>
        </is>
      </c>
      <c r="F77" s="5">
        <f>IFERROR(ROUND(D77/C77*100,1),0)</f>
        <v/>
      </c>
      <c r="G77" s="6">
        <f>C77-D77</f>
        <v/>
      </c>
      <c r="H77" s="5">
        <f>_xlfn.XLOOKUP(A77,부서코드표!$A$2:$A$9,부서코드표!$B$2:$B$9,"미등록")</f>
        <v/>
      </c>
      <c r="I77" s="5">
        <f>_xlfn.XLOOKUP(A77,부서코드표!$A$2:$A$9,부서코드표!$C$2:$C$9,"미등록")</f>
        <v/>
      </c>
      <c r="J77" s="5">
        <f>IF(C77=0,"예산없음",_xlfn.IFS(F77&gt;=90,"우수",F77&gt;=70,"보통",TRUE,"부진"))</f>
        <v/>
      </c>
    </row>
    <row r="78">
      <c r="A78" s="5" t="inlineStr">
        <is>
          <t>D07</t>
        </is>
      </c>
      <c r="B78" s="5" t="inlineStr">
        <is>
          <t>주민참여예산제</t>
        </is>
      </c>
      <c r="C78" s="6" t="n">
        <v>26900</v>
      </c>
      <c r="D78" s="6" t="n">
        <v>26600</v>
      </c>
      <c r="E78" s="5" t="inlineStr">
        <is>
          <t>1분기</t>
        </is>
      </c>
      <c r="F78" s="5">
        <f>IFERROR(ROUND(D78/C78*100,1),0)</f>
        <v/>
      </c>
      <c r="G78" s="6">
        <f>C78-D78</f>
        <v/>
      </c>
      <c r="H78" s="5">
        <f>_xlfn.XLOOKUP(A78,부서코드표!$A$2:$A$9,부서코드표!$B$2:$B$9,"미등록")</f>
        <v/>
      </c>
      <c r="I78" s="5">
        <f>_xlfn.XLOOKUP(A78,부서코드표!$A$2:$A$9,부서코드표!$C$2:$C$9,"미등록")</f>
        <v/>
      </c>
      <c r="J78" s="5">
        <f>IF(C78=0,"예산없음",_xlfn.IFS(F78&gt;=90,"우수",F78&gt;=70,"보통",TRUE,"부진"))</f>
        <v/>
      </c>
    </row>
    <row r="79">
      <c r="A79" s="5" t="inlineStr">
        <is>
          <t>D07</t>
        </is>
      </c>
      <c r="B79" s="5" t="inlineStr">
        <is>
          <t>주민참여예산제</t>
        </is>
      </c>
      <c r="C79" s="6" t="n">
        <v>17400</v>
      </c>
      <c r="D79" s="6" t="n">
        <v>17400</v>
      </c>
      <c r="E79" s="5" t="inlineStr">
        <is>
          <t>2분기</t>
        </is>
      </c>
      <c r="F79" s="5">
        <f>IFERROR(ROUND(D79/C79*100,1),0)</f>
        <v/>
      </c>
      <c r="G79" s="6">
        <f>C79-D79</f>
        <v/>
      </c>
      <c r="H79" s="5">
        <f>_xlfn.XLOOKUP(A79,부서코드표!$A$2:$A$9,부서코드표!$B$2:$B$9,"미등록")</f>
        <v/>
      </c>
      <c r="I79" s="5">
        <f>_xlfn.XLOOKUP(A79,부서코드표!$A$2:$A$9,부서코드표!$C$2:$C$9,"미등록")</f>
        <v/>
      </c>
      <c r="J79" s="5">
        <f>IF(C79=0,"예산없음",_xlfn.IFS(F79&gt;=90,"우수",F79&gt;=70,"보통",TRUE,"부진"))</f>
        <v/>
      </c>
    </row>
    <row r="80">
      <c r="A80" s="5" t="inlineStr">
        <is>
          <t>D07</t>
        </is>
      </c>
      <c r="B80" s="5" t="inlineStr">
        <is>
          <t>주민참여예산제</t>
        </is>
      </c>
      <c r="C80" s="6" t="n">
        <v>20200</v>
      </c>
      <c r="D80" s="6" t="n">
        <v>18800</v>
      </c>
      <c r="E80" s="5" t="inlineStr">
        <is>
          <t>3분기</t>
        </is>
      </c>
      <c r="F80" s="5">
        <f>IFERROR(ROUND(D80/C80*100,1),0)</f>
        <v/>
      </c>
      <c r="G80" s="6">
        <f>C80-D80</f>
        <v/>
      </c>
      <c r="H80" s="5">
        <f>_xlfn.XLOOKUP(A80,부서코드표!$A$2:$A$9,부서코드표!$B$2:$B$9,"미등록")</f>
        <v/>
      </c>
      <c r="I80" s="5">
        <f>_xlfn.XLOOKUP(A80,부서코드표!$A$2:$A$9,부서코드표!$C$2:$C$9,"미등록")</f>
        <v/>
      </c>
      <c r="J80" s="5">
        <f>IF(C80=0,"예산없음",_xlfn.IFS(F80&gt;=90,"우수",F80&gt;=70,"보통",TRUE,"부진"))</f>
        <v/>
      </c>
    </row>
    <row r="81">
      <c r="A81" s="5" t="inlineStr">
        <is>
          <t>D07</t>
        </is>
      </c>
      <c r="B81" s="5" t="inlineStr">
        <is>
          <t>주민참여예산제</t>
        </is>
      </c>
      <c r="C81" s="6" t="n">
        <v>0</v>
      </c>
      <c r="D81" s="6" t="n">
        <v>0</v>
      </c>
      <c r="E81" s="5" t="inlineStr">
        <is>
          <t>4분기</t>
        </is>
      </c>
      <c r="F81" s="5">
        <f>IFERROR(ROUND(D81/C81*100,1),0)</f>
        <v/>
      </c>
      <c r="G81" s="6">
        <f>C81-D81</f>
        <v/>
      </c>
      <c r="H81" s="5">
        <f>_xlfn.XLOOKUP(A81,부서코드표!$A$2:$A$9,부서코드표!$B$2:$B$9,"미등록")</f>
        <v/>
      </c>
      <c r="I81" s="5">
        <f>_xlfn.XLOOKUP(A81,부서코드표!$A$2:$A$9,부서코드표!$C$2:$C$9,"미등록")</f>
        <v/>
      </c>
      <c r="J81" s="5">
        <f>IF(C81=0,"예산없음",_xlfn.IFS(F81&gt;=90,"우수",F81&gt;=70,"보통",TRUE,"부진"))</f>
        <v/>
      </c>
    </row>
    <row r="82">
      <c r="A82" s="5" t="inlineStr">
        <is>
          <t>D07</t>
        </is>
      </c>
      <c r="B82" s="5" t="inlineStr">
        <is>
          <t>성과관리 시스템</t>
        </is>
      </c>
      <c r="C82" s="6" t="n">
        <v>51200</v>
      </c>
      <c r="D82" s="6" t="n">
        <v>47000</v>
      </c>
      <c r="E82" s="5" t="inlineStr">
        <is>
          <t>1분기</t>
        </is>
      </c>
      <c r="F82" s="5">
        <f>IFERROR(ROUND(D82/C82*100,1),0)</f>
        <v/>
      </c>
      <c r="G82" s="6">
        <f>C82-D82</f>
        <v/>
      </c>
      <c r="H82" s="5">
        <f>_xlfn.XLOOKUP(A82,부서코드표!$A$2:$A$9,부서코드표!$B$2:$B$9,"미등록")</f>
        <v/>
      </c>
      <c r="I82" s="5">
        <f>_xlfn.XLOOKUP(A82,부서코드표!$A$2:$A$9,부서코드표!$C$2:$C$9,"미등록")</f>
        <v/>
      </c>
      <c r="J82" s="5">
        <f>IF(C82=0,"예산없음",_xlfn.IFS(F82&gt;=90,"우수",F82&gt;=70,"보통",TRUE,"부진"))</f>
        <v/>
      </c>
    </row>
    <row r="83">
      <c r="A83" s="5" t="inlineStr">
        <is>
          <t>D07</t>
        </is>
      </c>
      <c r="B83" s="5" t="inlineStr">
        <is>
          <t>성과관리 시스템</t>
        </is>
      </c>
      <c r="C83" s="6" t="n">
        <v>49300</v>
      </c>
      <c r="D83" s="6" t="n">
        <v>40800</v>
      </c>
      <c r="E83" s="5" t="inlineStr">
        <is>
          <t>2분기</t>
        </is>
      </c>
      <c r="F83" s="5">
        <f>IFERROR(ROUND(D83/C83*100,1),0)</f>
        <v/>
      </c>
      <c r="G83" s="6">
        <f>C83-D83</f>
        <v/>
      </c>
      <c r="H83" s="5">
        <f>_xlfn.XLOOKUP(A83,부서코드표!$A$2:$A$9,부서코드표!$B$2:$B$9,"미등록")</f>
        <v/>
      </c>
      <c r="I83" s="5">
        <f>_xlfn.XLOOKUP(A83,부서코드표!$A$2:$A$9,부서코드표!$C$2:$C$9,"미등록")</f>
        <v/>
      </c>
      <c r="J83" s="5">
        <f>IF(C83=0,"예산없음",_xlfn.IFS(F83&gt;=90,"우수",F83&gt;=70,"보통",TRUE,"부진"))</f>
        <v/>
      </c>
    </row>
    <row r="84">
      <c r="A84" s="5" t="inlineStr">
        <is>
          <t>D07</t>
        </is>
      </c>
      <c r="B84" s="5" t="inlineStr">
        <is>
          <t>성과관리 시스템</t>
        </is>
      </c>
      <c r="C84" s="6" t="n">
        <v>55600</v>
      </c>
      <c r="D84" s="6" t="n">
        <v>51400</v>
      </c>
      <c r="E84" s="5" t="inlineStr">
        <is>
          <t>3분기</t>
        </is>
      </c>
      <c r="F84" s="5">
        <f>IFERROR(ROUND(D84/C84*100,1),0)</f>
        <v/>
      </c>
      <c r="G84" s="6">
        <f>C84-D84</f>
        <v/>
      </c>
      <c r="H84" s="5">
        <f>_xlfn.XLOOKUP(A84,부서코드표!$A$2:$A$9,부서코드표!$B$2:$B$9,"미등록")</f>
        <v/>
      </c>
      <c r="I84" s="5">
        <f>_xlfn.XLOOKUP(A84,부서코드표!$A$2:$A$9,부서코드표!$C$2:$C$9,"미등록")</f>
        <v/>
      </c>
      <c r="J84" s="5">
        <f>IF(C84=0,"예산없음",_xlfn.IFS(F84&gt;=90,"우수",F84&gt;=70,"보통",TRUE,"부진"))</f>
        <v/>
      </c>
    </row>
    <row r="85">
      <c r="A85" s="5" t="inlineStr">
        <is>
          <t>D07</t>
        </is>
      </c>
      <c r="B85" s="5" t="inlineStr">
        <is>
          <t>성과관리 시스템</t>
        </is>
      </c>
      <c r="C85" s="6" t="n">
        <v>45900</v>
      </c>
      <c r="D85" s="6" t="n">
        <v>34300</v>
      </c>
      <c r="E85" s="5" t="inlineStr">
        <is>
          <t>4분기</t>
        </is>
      </c>
      <c r="F85" s="5">
        <f>IFERROR(ROUND(D85/C85*100,1),0)</f>
        <v/>
      </c>
      <c r="G85" s="6">
        <f>C85-D85</f>
        <v/>
      </c>
      <c r="H85" s="5">
        <f>_xlfn.XLOOKUP(A85,부서코드표!$A$2:$A$9,부서코드표!$B$2:$B$9,"미등록")</f>
        <v/>
      </c>
      <c r="I85" s="5">
        <f>_xlfn.XLOOKUP(A85,부서코드표!$A$2:$A$9,부서코드표!$C$2:$C$9,"미등록")</f>
        <v/>
      </c>
      <c r="J85" s="5">
        <f>IF(C85=0,"예산없음",_xlfn.IFS(F85&gt;=90,"우수",F85&gt;=70,"보통",TRUE,"부진"))</f>
        <v/>
      </c>
    </row>
    <row r="86">
      <c r="A86" s="5" t="inlineStr">
        <is>
          <t>D08</t>
        </is>
      </c>
      <c r="B86" s="5" t="inlineStr">
        <is>
          <t>지역축제 개최</t>
        </is>
      </c>
      <c r="C86" s="6" t="n">
        <v>11100</v>
      </c>
      <c r="D86" s="6" t="n">
        <v>5400</v>
      </c>
      <c r="E86" s="5" t="inlineStr">
        <is>
          <t>1분기</t>
        </is>
      </c>
      <c r="F86" s="5">
        <f>IFERROR(ROUND(D86/C86*100,1),0)</f>
        <v/>
      </c>
      <c r="G86" s="6">
        <f>C86-D86</f>
        <v/>
      </c>
      <c r="H86" s="5">
        <f>_xlfn.XLOOKUP(A86,부서코드표!$A$2:$A$9,부서코드표!$B$2:$B$9,"미등록")</f>
        <v/>
      </c>
      <c r="I86" s="5">
        <f>_xlfn.XLOOKUP(A86,부서코드표!$A$2:$A$9,부서코드표!$C$2:$C$9,"미등록")</f>
        <v/>
      </c>
      <c r="J86" s="5">
        <f>IF(C86=0,"예산없음",_xlfn.IFS(F86&gt;=90,"우수",F86&gt;=70,"보통",TRUE,"부진"))</f>
        <v/>
      </c>
    </row>
    <row r="87">
      <c r="A87" s="5" t="inlineStr">
        <is>
          <t>D08</t>
        </is>
      </c>
      <c r="B87" s="5" t="inlineStr">
        <is>
          <t>지역축제 개최</t>
        </is>
      </c>
      <c r="C87" s="6" t="n">
        <v>9500</v>
      </c>
      <c r="D87" s="6" t="n">
        <v>5200</v>
      </c>
      <c r="E87" s="5" t="inlineStr">
        <is>
          <t>2분기</t>
        </is>
      </c>
      <c r="F87" s="5">
        <f>IFERROR(ROUND(D87/C87*100,1),0)</f>
        <v/>
      </c>
      <c r="G87" s="6">
        <f>C87-D87</f>
        <v/>
      </c>
      <c r="H87" s="5">
        <f>_xlfn.XLOOKUP(A87,부서코드표!$A$2:$A$9,부서코드표!$B$2:$B$9,"미등록")</f>
        <v/>
      </c>
      <c r="I87" s="5">
        <f>_xlfn.XLOOKUP(A87,부서코드표!$A$2:$A$9,부서코드표!$C$2:$C$9,"미등록")</f>
        <v/>
      </c>
      <c r="J87" s="5">
        <f>IF(C87=0,"예산없음",_xlfn.IFS(F87&gt;=90,"우수",F87&gt;=70,"보통",TRUE,"부진"))</f>
        <v/>
      </c>
    </row>
    <row r="88">
      <c r="A88" s="5" t="inlineStr">
        <is>
          <t>D08</t>
        </is>
      </c>
      <c r="B88" s="5" t="inlineStr">
        <is>
          <t>지역축제 개최</t>
        </is>
      </c>
      <c r="C88" s="6" t="n">
        <v>8800</v>
      </c>
      <c r="D88" s="6" t="n">
        <v>5000</v>
      </c>
      <c r="E88" s="5" t="inlineStr">
        <is>
          <t>3분기</t>
        </is>
      </c>
      <c r="F88" s="5">
        <f>IFERROR(ROUND(D88/C88*100,1),0)</f>
        <v/>
      </c>
      <c r="G88" s="6">
        <f>C88-D88</f>
        <v/>
      </c>
      <c r="H88" s="5">
        <f>_xlfn.XLOOKUP(A88,부서코드표!$A$2:$A$9,부서코드표!$B$2:$B$9,"미등록")</f>
        <v/>
      </c>
      <c r="I88" s="5">
        <f>_xlfn.XLOOKUP(A88,부서코드표!$A$2:$A$9,부서코드표!$C$2:$C$9,"미등록")</f>
        <v/>
      </c>
      <c r="J88" s="5">
        <f>IF(C88=0,"예산없음",_xlfn.IFS(F88&gt;=90,"우수",F88&gt;=70,"보통",TRUE,"부진"))</f>
        <v/>
      </c>
    </row>
    <row r="89">
      <c r="A89" s="5" t="inlineStr">
        <is>
          <t>D08</t>
        </is>
      </c>
      <c r="B89" s="5" t="inlineStr">
        <is>
          <t>지역축제 개최</t>
        </is>
      </c>
      <c r="C89" s="6" t="n">
        <v>9300</v>
      </c>
      <c r="D89" s="6" t="n">
        <v>4000</v>
      </c>
      <c r="E89" s="5" t="inlineStr">
        <is>
          <t>4분기</t>
        </is>
      </c>
      <c r="F89" s="5">
        <f>IFERROR(ROUND(D89/C89*100,1),0)</f>
        <v/>
      </c>
      <c r="G89" s="6">
        <f>C89-D89</f>
        <v/>
      </c>
      <c r="H89" s="5">
        <f>_xlfn.XLOOKUP(A89,부서코드표!$A$2:$A$9,부서코드표!$B$2:$B$9,"미등록")</f>
        <v/>
      </c>
      <c r="I89" s="5">
        <f>_xlfn.XLOOKUP(A89,부서코드표!$A$2:$A$9,부서코드표!$C$2:$C$9,"미등록")</f>
        <v/>
      </c>
      <c r="J89" s="5">
        <f>IF(C89=0,"예산없음",_xlfn.IFS(F89&gt;=90,"우수",F89&gt;=70,"보통",TRUE,"부진"))</f>
        <v/>
      </c>
    </row>
    <row r="90">
      <c r="A90" s="5" t="inlineStr">
        <is>
          <t>D08</t>
        </is>
      </c>
      <c r="B90" s="5" t="inlineStr">
        <is>
          <t>생활체육 교실</t>
        </is>
      </c>
      <c r="C90" s="6" t="n">
        <v>13200</v>
      </c>
      <c r="D90" s="6" t="n">
        <v>12900</v>
      </c>
      <c r="E90" s="5" t="inlineStr">
        <is>
          <t>1분기</t>
        </is>
      </c>
      <c r="F90" s="5">
        <f>IFERROR(ROUND(D90/C90*100,1),0)</f>
        <v/>
      </c>
      <c r="G90" s="6">
        <f>C90-D90</f>
        <v/>
      </c>
      <c r="H90" s="5">
        <f>_xlfn.XLOOKUP(A90,부서코드표!$A$2:$A$9,부서코드표!$B$2:$B$9,"미등록")</f>
        <v/>
      </c>
      <c r="I90" s="5">
        <f>_xlfn.XLOOKUP(A90,부서코드표!$A$2:$A$9,부서코드표!$C$2:$C$9,"미등록")</f>
        <v/>
      </c>
      <c r="J90" s="5">
        <f>IF(C90=0,"예산없음",_xlfn.IFS(F90&gt;=90,"우수",F90&gt;=70,"보통",TRUE,"부진"))</f>
        <v/>
      </c>
    </row>
    <row r="91">
      <c r="A91" s="5" t="inlineStr">
        <is>
          <t>D08</t>
        </is>
      </c>
      <c r="B91" s="5" t="inlineStr">
        <is>
          <t>생활체육 교실</t>
        </is>
      </c>
      <c r="C91" s="6" t="n">
        <v>14300</v>
      </c>
      <c r="D91" s="6" t="n">
        <v>12800</v>
      </c>
      <c r="E91" s="5" t="inlineStr">
        <is>
          <t>2분기</t>
        </is>
      </c>
      <c r="F91" s="5">
        <f>IFERROR(ROUND(D91/C91*100,1),0)</f>
        <v/>
      </c>
      <c r="G91" s="6">
        <f>C91-D91</f>
        <v/>
      </c>
      <c r="H91" s="5">
        <f>_xlfn.XLOOKUP(A91,부서코드표!$A$2:$A$9,부서코드표!$B$2:$B$9,"미등록")</f>
        <v/>
      </c>
      <c r="I91" s="5">
        <f>_xlfn.XLOOKUP(A91,부서코드표!$A$2:$A$9,부서코드표!$C$2:$C$9,"미등록")</f>
        <v/>
      </c>
      <c r="J91" s="5">
        <f>IF(C91=0,"예산없음",_xlfn.IFS(F91&gt;=90,"우수",F91&gt;=70,"보통",TRUE,"부진"))</f>
        <v/>
      </c>
    </row>
    <row r="92">
      <c r="A92" s="5" t="inlineStr">
        <is>
          <t>D08</t>
        </is>
      </c>
      <c r="B92" s="5" t="inlineStr">
        <is>
          <t>생활체육 교실</t>
        </is>
      </c>
      <c r="C92" s="6" t="n">
        <v>15400</v>
      </c>
      <c r="D92" s="6" t="n">
        <v>12800</v>
      </c>
      <c r="E92" s="5" t="inlineStr">
        <is>
          <t>3분기</t>
        </is>
      </c>
      <c r="F92" s="5">
        <f>IFERROR(ROUND(D92/C92*100,1),0)</f>
        <v/>
      </c>
      <c r="G92" s="6">
        <f>C92-D92</f>
        <v/>
      </c>
      <c r="H92" s="5">
        <f>_xlfn.XLOOKUP(A92,부서코드표!$A$2:$A$9,부서코드표!$B$2:$B$9,"미등록")</f>
        <v/>
      </c>
      <c r="I92" s="5">
        <f>_xlfn.XLOOKUP(A92,부서코드표!$A$2:$A$9,부서코드표!$C$2:$C$9,"미등록")</f>
        <v/>
      </c>
      <c r="J92" s="5">
        <f>IF(C92=0,"예산없음",_xlfn.IFS(F92&gt;=90,"우수",F92&gt;=70,"보통",TRUE,"부진"))</f>
        <v/>
      </c>
    </row>
    <row r="93">
      <c r="A93" s="5" t="inlineStr">
        <is>
          <t>D08</t>
        </is>
      </c>
      <c r="B93" s="5" t="inlineStr">
        <is>
          <t>생활체육 교실</t>
        </is>
      </c>
      <c r="C93" s="6" t="n">
        <v>12900</v>
      </c>
      <c r="D93" s="6" t="n">
        <v>10000</v>
      </c>
      <c r="E93" s="5" t="inlineStr">
        <is>
          <t>4분기</t>
        </is>
      </c>
      <c r="F93" s="5">
        <f>IFERROR(ROUND(D93/C93*100,1),0)</f>
        <v/>
      </c>
      <c r="G93" s="6">
        <f>C93-D93</f>
        <v/>
      </c>
      <c r="H93" s="5">
        <f>_xlfn.XLOOKUP(A93,부서코드표!$A$2:$A$9,부서코드표!$B$2:$B$9,"미등록")</f>
        <v/>
      </c>
      <c r="I93" s="5">
        <f>_xlfn.XLOOKUP(A93,부서코드표!$A$2:$A$9,부서코드표!$C$2:$C$9,"미등록")</f>
        <v/>
      </c>
      <c r="J93" s="5">
        <f>IF(C93=0,"예산없음",_xlfn.IFS(F93&gt;=90,"우수",F93&gt;=70,"보통",TRUE,"부진"))</f>
        <v/>
      </c>
    </row>
    <row r="94">
      <c r="A94" s="5" t="inlineStr">
        <is>
          <t>D08</t>
        </is>
      </c>
      <c r="B94" s="5" t="inlineStr">
        <is>
          <t>도서관 장서 확충</t>
        </is>
      </c>
      <c r="C94" s="6" t="n">
        <v>49400</v>
      </c>
      <c r="D94" s="6" t="n">
        <v>46900</v>
      </c>
      <c r="E94" s="5" t="inlineStr">
        <is>
          <t>1분기</t>
        </is>
      </c>
      <c r="F94" s="5">
        <f>IFERROR(ROUND(D94/C94*100,1),0)</f>
        <v/>
      </c>
      <c r="G94" s="6">
        <f>C94-D94</f>
        <v/>
      </c>
      <c r="H94" s="5">
        <f>_xlfn.XLOOKUP(A94,부서코드표!$A$2:$A$9,부서코드표!$B$2:$B$9,"미등록")</f>
        <v/>
      </c>
      <c r="I94" s="5">
        <f>_xlfn.XLOOKUP(A94,부서코드표!$A$2:$A$9,부서코드표!$C$2:$C$9,"미등록")</f>
        <v/>
      </c>
      <c r="J94" s="5">
        <f>IF(C94=0,"예산없음",_xlfn.IFS(F94&gt;=90,"우수",F94&gt;=70,"보통",TRUE,"부진"))</f>
        <v/>
      </c>
    </row>
    <row r="95">
      <c r="A95" s="5" t="inlineStr">
        <is>
          <t>D08</t>
        </is>
      </c>
      <c r="B95" s="5" t="inlineStr">
        <is>
          <t>도서관 장서 확충</t>
        </is>
      </c>
      <c r="C95" s="6" t="n">
        <v>57000</v>
      </c>
      <c r="D95" s="6" t="n">
        <v>50400</v>
      </c>
      <c r="E95" s="5" t="inlineStr">
        <is>
          <t>2분기</t>
        </is>
      </c>
      <c r="F95" s="5">
        <f>IFERROR(ROUND(D95/C95*100,1),0)</f>
        <v/>
      </c>
      <c r="G95" s="6">
        <f>C95-D95</f>
        <v/>
      </c>
      <c r="H95" s="5">
        <f>_xlfn.XLOOKUP(A95,부서코드표!$A$2:$A$9,부서코드표!$B$2:$B$9,"미등록")</f>
        <v/>
      </c>
      <c r="I95" s="5">
        <f>_xlfn.XLOOKUP(A95,부서코드표!$A$2:$A$9,부서코드표!$C$2:$C$9,"미등록")</f>
        <v/>
      </c>
      <c r="J95" s="5">
        <f>IF(C95=0,"예산없음",_xlfn.IFS(F95&gt;=90,"우수",F95&gt;=70,"보통",TRUE,"부진"))</f>
        <v/>
      </c>
    </row>
    <row r="96">
      <c r="A96" s="5" t="inlineStr">
        <is>
          <t>D08</t>
        </is>
      </c>
      <c r="B96" s="5" t="inlineStr">
        <is>
          <t>도서관 장서 확충</t>
        </is>
      </c>
      <c r="C96" s="6" t="n">
        <v>40500</v>
      </c>
      <c r="D96" s="6" t="n">
        <v>34100</v>
      </c>
      <c r="E96" s="5" t="inlineStr">
        <is>
          <t>3분기</t>
        </is>
      </c>
      <c r="F96" s="5">
        <f>IFERROR(ROUND(D96/C96*100,1),0)</f>
        <v/>
      </c>
      <c r="G96" s="6">
        <f>C96-D96</f>
        <v/>
      </c>
      <c r="H96" s="5">
        <f>_xlfn.XLOOKUP(A96,부서코드표!$A$2:$A$9,부서코드표!$B$2:$B$9,"미등록")</f>
        <v/>
      </c>
      <c r="I96" s="5">
        <f>_xlfn.XLOOKUP(A96,부서코드표!$A$2:$A$9,부서코드표!$C$2:$C$9,"미등록")</f>
        <v/>
      </c>
      <c r="J96" s="5">
        <f>IF(C96=0,"예산없음",_xlfn.IFS(F96&gt;=90,"우수",F96&gt;=70,"보통",TRUE,"부진"))</f>
        <v/>
      </c>
    </row>
    <row r="97">
      <c r="A97" s="5" t="inlineStr">
        <is>
          <t>D08</t>
        </is>
      </c>
      <c r="B97" s="5" t="inlineStr">
        <is>
          <t>도서관 장서 확충</t>
        </is>
      </c>
      <c r="C97" s="6" t="n">
        <v>50000</v>
      </c>
      <c r="D97" s="6" t="n">
        <v>30300</v>
      </c>
      <c r="E97" s="5" t="inlineStr">
        <is>
          <t>4분기</t>
        </is>
      </c>
      <c r="F97" s="5">
        <f>IFERROR(ROUND(D97/C97*100,1),0)</f>
        <v/>
      </c>
      <c r="G97" s="6">
        <f>C97-D97</f>
        <v/>
      </c>
      <c r="H97" s="5">
        <f>_xlfn.XLOOKUP(A97,부서코드표!$A$2:$A$9,부서코드표!$B$2:$B$9,"미등록")</f>
        <v/>
      </c>
      <c r="I97" s="5">
        <f>_xlfn.XLOOKUP(A97,부서코드표!$A$2:$A$9,부서코드표!$C$2:$C$9,"미등록")</f>
        <v/>
      </c>
      <c r="J97" s="5">
        <f>IF(C97=0,"예산없음",_xlfn.IFS(F97&gt;=90,"우수",F97&gt;=70,"보통",TRUE,"부진"))</f>
        <v/>
      </c>
    </row>
  </sheetData>
  <conditionalFormatting sqref="J2:J97">
    <cfRule type="expression" priority="1" dxfId="0">
      <formula>J2="부진"</formula>
    </cfRule>
    <cfRule type="expression" priority="2" dxfId="1">
      <formula>J2="우수"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</cols>
  <sheetData>
    <row r="1">
      <c r="A1" s="4" t="inlineStr">
        <is>
          <t>부서코드</t>
        </is>
      </c>
      <c r="B1" s="4" t="inlineStr">
        <is>
          <t>부서명</t>
        </is>
      </c>
      <c r="C1" s="4" t="inlineStr">
        <is>
          <t>팀장(가상)</t>
        </is>
      </c>
      <c r="D1" s="4" t="inlineStr">
        <is>
          <t>내선번호</t>
        </is>
      </c>
    </row>
    <row r="2">
      <c r="A2" s="5" t="inlineStr">
        <is>
          <t>D01</t>
        </is>
      </c>
      <c r="B2" s="5" t="inlineStr">
        <is>
          <t>도로과</t>
        </is>
      </c>
      <c r="C2" s="5" t="inlineStr">
        <is>
          <t>최건우</t>
        </is>
      </c>
      <c r="D2" s="5" t="inlineStr">
        <is>
          <t>3100</t>
        </is>
      </c>
    </row>
    <row r="3">
      <c r="A3" s="5" t="inlineStr">
        <is>
          <t>D02</t>
        </is>
      </c>
      <c r="B3" s="5" t="inlineStr">
        <is>
          <t>환경위생과</t>
        </is>
      </c>
      <c r="C3" s="5" t="inlineStr">
        <is>
          <t>안주원</t>
        </is>
      </c>
      <c r="D3" s="5" t="inlineStr">
        <is>
          <t>3110</t>
        </is>
      </c>
    </row>
    <row r="4">
      <c r="A4" s="5" t="inlineStr">
        <is>
          <t>D03</t>
        </is>
      </c>
      <c r="B4" s="5" t="inlineStr">
        <is>
          <t>복지정책과</t>
        </is>
      </c>
      <c r="C4" s="5" t="inlineStr">
        <is>
          <t>최정훈</t>
        </is>
      </c>
      <c r="D4" s="5" t="inlineStr">
        <is>
          <t>3120</t>
        </is>
      </c>
    </row>
    <row r="5">
      <c r="A5" s="5" t="inlineStr">
        <is>
          <t>D04</t>
        </is>
      </c>
      <c r="B5" s="5" t="inlineStr">
        <is>
          <t>건축과</t>
        </is>
      </c>
      <c r="C5" s="5" t="inlineStr">
        <is>
          <t>윤정훈</t>
        </is>
      </c>
      <c r="D5" s="5" t="inlineStr">
        <is>
          <t>3130</t>
        </is>
      </c>
    </row>
    <row r="6">
      <c r="A6" s="5" t="inlineStr">
        <is>
          <t>D05</t>
        </is>
      </c>
      <c r="B6" s="5" t="inlineStr">
        <is>
          <t>교통행정과</t>
        </is>
      </c>
      <c r="C6" s="5" t="inlineStr">
        <is>
          <t>홍나연</t>
        </is>
      </c>
      <c r="D6" s="5" t="inlineStr">
        <is>
          <t>3140</t>
        </is>
      </c>
    </row>
    <row r="7">
      <c r="A7" s="5" t="inlineStr">
        <is>
          <t>D06</t>
        </is>
      </c>
      <c r="B7" s="5" t="inlineStr">
        <is>
          <t>민원봉사과</t>
        </is>
      </c>
      <c r="C7" s="5" t="inlineStr">
        <is>
          <t>송다은</t>
        </is>
      </c>
      <c r="D7" s="5" t="inlineStr">
        <is>
          <t>3150</t>
        </is>
      </c>
    </row>
    <row r="8">
      <c r="A8" s="5" t="inlineStr">
        <is>
          <t>D07</t>
        </is>
      </c>
      <c r="B8" s="5" t="inlineStr">
        <is>
          <t>기획예산과</t>
        </is>
      </c>
      <c r="C8" s="5" t="inlineStr">
        <is>
          <t>류소율</t>
        </is>
      </c>
      <c r="D8" s="5" t="inlineStr">
        <is>
          <t>3160</t>
        </is>
      </c>
    </row>
    <row r="9">
      <c r="A9" s="5" t="inlineStr">
        <is>
          <t>D08</t>
        </is>
      </c>
      <c r="B9" s="5" t="inlineStr">
        <is>
          <t>문화체육과</t>
        </is>
      </c>
      <c r="C9" s="5" t="inlineStr">
        <is>
          <t>황성민</t>
        </is>
      </c>
      <c r="D9" s="5" t="inlineStr">
        <is>
          <t>3170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7" t="inlineStr">
        <is>
          <t>부서별 예산 집행 분석</t>
        </is>
      </c>
    </row>
    <row r="2">
      <c r="A2" s="8" t="inlineStr">
        <is>
          <t>집행률 = 집행액 ÷ 예산액 × 100  (예산액이 0인 행은 제외하여 계산)</t>
        </is>
      </c>
      <c r="H2" s="9" t="inlineStr">
        <is>
          <t>분기별 집행액(천원)</t>
        </is>
      </c>
    </row>
    <row r="3">
      <c r="A3" s="4" t="inlineStr">
        <is>
          <t>부서코드</t>
        </is>
      </c>
      <c r="B3" s="4" t="inlineStr">
        <is>
          <t>부서명</t>
        </is>
      </c>
      <c r="C3" s="4" t="inlineStr">
        <is>
          <t>연간예산</t>
        </is>
      </c>
      <c r="D3" s="4" t="inlineStr">
        <is>
          <t>연간집행</t>
        </is>
      </c>
      <c r="E3" s="4" t="inlineStr">
        <is>
          <t>집행률(%)</t>
        </is>
      </c>
      <c r="F3" s="4" t="inlineStr">
        <is>
          <t>부진 행 수</t>
        </is>
      </c>
      <c r="G3" s="4" t="inlineStr">
        <is>
          <t>등급</t>
        </is>
      </c>
      <c r="H3" s="4" t="inlineStr">
        <is>
          <t>1분기</t>
        </is>
      </c>
      <c r="I3" s="4" t="inlineStr">
        <is>
          <t>2분기</t>
        </is>
      </c>
      <c r="J3" s="4" t="inlineStr">
        <is>
          <t>3분기</t>
        </is>
      </c>
      <c r="K3" s="4" t="inlineStr">
        <is>
          <t>4분기</t>
        </is>
      </c>
    </row>
    <row r="4">
      <c r="A4" s="5" t="inlineStr">
        <is>
          <t>D01</t>
        </is>
      </c>
      <c r="B4" s="5">
        <f>_xlfn.XLOOKUP(A4,부서코드표!$A$2:$A$9,부서코드표!$B$2:$B$9,"미등록")</f>
        <v/>
      </c>
      <c r="C4" s="6">
        <f>SUMIFS(예산집행!$C:$C,예산집행!$A:$A,$A4)</f>
        <v/>
      </c>
      <c r="D4" s="6">
        <f>SUMIFS(예산집행!$D:$D,예산집행!$A:$A,$A4)</f>
        <v/>
      </c>
      <c r="E4" s="5">
        <f>IFERROR(ROUND(D4/C4*100,1),0)</f>
        <v/>
      </c>
      <c r="F4" s="5">
        <f>COUNTIFS(예산집행!$A:$A,$A4,예산집행!$C:$C,"&gt;0",예산집행!$F:$F,"&lt;70")</f>
        <v/>
      </c>
      <c r="G4" s="5">
        <f>_xlfn.IFS(E4&gt;=90,"우수",E4&gt;=70,"보통",TRUE,"부진")</f>
        <v/>
      </c>
      <c r="H4" s="6">
        <f>SUMIFS(예산집행!$D:$D,예산집행!$A:$A,$A4,예산집행!$E:$E,H$3)</f>
        <v/>
      </c>
      <c r="I4" s="6">
        <f>SUMIFS(예산집행!$D:$D,예산집행!$A:$A,$A4,예산집행!$E:$E,I$3)</f>
        <v/>
      </c>
      <c r="J4" s="6">
        <f>SUMIFS(예산집행!$D:$D,예산집행!$A:$A,$A4,예산집행!$E:$E,J$3)</f>
        <v/>
      </c>
      <c r="K4" s="6">
        <f>SUMIFS(예산집행!$D:$D,예산집행!$A:$A,$A4,예산집행!$E:$E,K$3)</f>
        <v/>
      </c>
    </row>
    <row r="5">
      <c r="A5" s="5" t="inlineStr">
        <is>
          <t>D02</t>
        </is>
      </c>
      <c r="B5" s="5">
        <f>_xlfn.XLOOKUP(A5,부서코드표!$A$2:$A$9,부서코드표!$B$2:$B$9,"미등록")</f>
        <v/>
      </c>
      <c r="C5" s="6">
        <f>SUMIFS(예산집행!$C:$C,예산집행!$A:$A,$A5)</f>
        <v/>
      </c>
      <c r="D5" s="6">
        <f>SUMIFS(예산집행!$D:$D,예산집행!$A:$A,$A5)</f>
        <v/>
      </c>
      <c r="E5" s="5">
        <f>IFERROR(ROUND(D5/C5*100,1),0)</f>
        <v/>
      </c>
      <c r="F5" s="5">
        <f>COUNTIFS(예산집행!$A:$A,$A5,예산집행!$C:$C,"&gt;0",예산집행!$F:$F,"&lt;70")</f>
        <v/>
      </c>
      <c r="G5" s="5">
        <f>_xlfn.IFS(E5&gt;=90,"우수",E5&gt;=70,"보통",TRUE,"부진")</f>
        <v/>
      </c>
      <c r="H5" s="6">
        <f>SUMIFS(예산집행!$D:$D,예산집행!$A:$A,$A5,예산집행!$E:$E,H$3)</f>
        <v/>
      </c>
      <c r="I5" s="6">
        <f>SUMIFS(예산집행!$D:$D,예산집행!$A:$A,$A5,예산집행!$E:$E,I$3)</f>
        <v/>
      </c>
      <c r="J5" s="6">
        <f>SUMIFS(예산집행!$D:$D,예산집행!$A:$A,$A5,예산집행!$E:$E,J$3)</f>
        <v/>
      </c>
      <c r="K5" s="6">
        <f>SUMIFS(예산집행!$D:$D,예산집행!$A:$A,$A5,예산집행!$E:$E,K$3)</f>
        <v/>
      </c>
    </row>
    <row r="6">
      <c r="A6" s="5" t="inlineStr">
        <is>
          <t>D03</t>
        </is>
      </c>
      <c r="B6" s="5">
        <f>_xlfn.XLOOKUP(A6,부서코드표!$A$2:$A$9,부서코드표!$B$2:$B$9,"미등록")</f>
        <v/>
      </c>
      <c r="C6" s="6">
        <f>SUMIFS(예산집행!$C:$C,예산집행!$A:$A,$A6)</f>
        <v/>
      </c>
      <c r="D6" s="6">
        <f>SUMIFS(예산집행!$D:$D,예산집행!$A:$A,$A6)</f>
        <v/>
      </c>
      <c r="E6" s="5">
        <f>IFERROR(ROUND(D6/C6*100,1),0)</f>
        <v/>
      </c>
      <c r="F6" s="5">
        <f>COUNTIFS(예산집행!$A:$A,$A6,예산집행!$C:$C,"&gt;0",예산집행!$F:$F,"&lt;70")</f>
        <v/>
      </c>
      <c r="G6" s="5">
        <f>_xlfn.IFS(E6&gt;=90,"우수",E6&gt;=70,"보통",TRUE,"부진")</f>
        <v/>
      </c>
      <c r="H6" s="6">
        <f>SUMIFS(예산집행!$D:$D,예산집행!$A:$A,$A6,예산집행!$E:$E,H$3)</f>
        <v/>
      </c>
      <c r="I6" s="6">
        <f>SUMIFS(예산집행!$D:$D,예산집행!$A:$A,$A6,예산집행!$E:$E,I$3)</f>
        <v/>
      </c>
      <c r="J6" s="6">
        <f>SUMIFS(예산집행!$D:$D,예산집행!$A:$A,$A6,예산집행!$E:$E,J$3)</f>
        <v/>
      </c>
      <c r="K6" s="6">
        <f>SUMIFS(예산집행!$D:$D,예산집행!$A:$A,$A6,예산집행!$E:$E,K$3)</f>
        <v/>
      </c>
    </row>
    <row r="7">
      <c r="A7" s="5" t="inlineStr">
        <is>
          <t>D04</t>
        </is>
      </c>
      <c r="B7" s="5">
        <f>_xlfn.XLOOKUP(A7,부서코드표!$A$2:$A$9,부서코드표!$B$2:$B$9,"미등록")</f>
        <v/>
      </c>
      <c r="C7" s="6">
        <f>SUMIFS(예산집행!$C:$C,예산집행!$A:$A,$A7)</f>
        <v/>
      </c>
      <c r="D7" s="6">
        <f>SUMIFS(예산집행!$D:$D,예산집행!$A:$A,$A7)</f>
        <v/>
      </c>
      <c r="E7" s="5">
        <f>IFERROR(ROUND(D7/C7*100,1),0)</f>
        <v/>
      </c>
      <c r="F7" s="5">
        <f>COUNTIFS(예산집행!$A:$A,$A7,예산집행!$C:$C,"&gt;0",예산집행!$F:$F,"&lt;70")</f>
        <v/>
      </c>
      <c r="G7" s="5">
        <f>_xlfn.IFS(E7&gt;=90,"우수",E7&gt;=70,"보통",TRUE,"부진")</f>
        <v/>
      </c>
      <c r="H7" s="6">
        <f>SUMIFS(예산집행!$D:$D,예산집행!$A:$A,$A7,예산집행!$E:$E,H$3)</f>
        <v/>
      </c>
      <c r="I7" s="6">
        <f>SUMIFS(예산집행!$D:$D,예산집행!$A:$A,$A7,예산집행!$E:$E,I$3)</f>
        <v/>
      </c>
      <c r="J7" s="6">
        <f>SUMIFS(예산집행!$D:$D,예산집행!$A:$A,$A7,예산집행!$E:$E,J$3)</f>
        <v/>
      </c>
      <c r="K7" s="6">
        <f>SUMIFS(예산집행!$D:$D,예산집행!$A:$A,$A7,예산집행!$E:$E,K$3)</f>
        <v/>
      </c>
    </row>
    <row r="8">
      <c r="A8" s="5" t="inlineStr">
        <is>
          <t>D05</t>
        </is>
      </c>
      <c r="B8" s="5">
        <f>_xlfn.XLOOKUP(A8,부서코드표!$A$2:$A$9,부서코드표!$B$2:$B$9,"미등록")</f>
        <v/>
      </c>
      <c r="C8" s="6">
        <f>SUMIFS(예산집행!$C:$C,예산집행!$A:$A,$A8)</f>
        <v/>
      </c>
      <c r="D8" s="6">
        <f>SUMIFS(예산집행!$D:$D,예산집행!$A:$A,$A8)</f>
        <v/>
      </c>
      <c r="E8" s="5">
        <f>IFERROR(ROUND(D8/C8*100,1),0)</f>
        <v/>
      </c>
      <c r="F8" s="5">
        <f>COUNTIFS(예산집행!$A:$A,$A8,예산집행!$C:$C,"&gt;0",예산집행!$F:$F,"&lt;70")</f>
        <v/>
      </c>
      <c r="G8" s="5">
        <f>_xlfn.IFS(E8&gt;=90,"우수",E8&gt;=70,"보통",TRUE,"부진")</f>
        <v/>
      </c>
      <c r="H8" s="6">
        <f>SUMIFS(예산집행!$D:$D,예산집행!$A:$A,$A8,예산집행!$E:$E,H$3)</f>
        <v/>
      </c>
      <c r="I8" s="6">
        <f>SUMIFS(예산집행!$D:$D,예산집행!$A:$A,$A8,예산집행!$E:$E,I$3)</f>
        <v/>
      </c>
      <c r="J8" s="6">
        <f>SUMIFS(예산집행!$D:$D,예산집행!$A:$A,$A8,예산집행!$E:$E,J$3)</f>
        <v/>
      </c>
      <c r="K8" s="6">
        <f>SUMIFS(예산집행!$D:$D,예산집행!$A:$A,$A8,예산집행!$E:$E,K$3)</f>
        <v/>
      </c>
    </row>
    <row r="9">
      <c r="A9" s="5" t="inlineStr">
        <is>
          <t>D06</t>
        </is>
      </c>
      <c r="B9" s="5">
        <f>_xlfn.XLOOKUP(A9,부서코드표!$A$2:$A$9,부서코드표!$B$2:$B$9,"미등록")</f>
        <v/>
      </c>
      <c r="C9" s="6">
        <f>SUMIFS(예산집행!$C:$C,예산집행!$A:$A,$A9)</f>
        <v/>
      </c>
      <c r="D9" s="6">
        <f>SUMIFS(예산집행!$D:$D,예산집행!$A:$A,$A9)</f>
        <v/>
      </c>
      <c r="E9" s="5">
        <f>IFERROR(ROUND(D9/C9*100,1),0)</f>
        <v/>
      </c>
      <c r="F9" s="5">
        <f>COUNTIFS(예산집행!$A:$A,$A9,예산집행!$C:$C,"&gt;0",예산집행!$F:$F,"&lt;70")</f>
        <v/>
      </c>
      <c r="G9" s="5">
        <f>_xlfn.IFS(E9&gt;=90,"우수",E9&gt;=70,"보통",TRUE,"부진")</f>
        <v/>
      </c>
      <c r="H9" s="6">
        <f>SUMIFS(예산집행!$D:$D,예산집행!$A:$A,$A9,예산집행!$E:$E,H$3)</f>
        <v/>
      </c>
      <c r="I9" s="6">
        <f>SUMIFS(예산집행!$D:$D,예산집행!$A:$A,$A9,예산집행!$E:$E,I$3)</f>
        <v/>
      </c>
      <c r="J9" s="6">
        <f>SUMIFS(예산집행!$D:$D,예산집행!$A:$A,$A9,예산집행!$E:$E,J$3)</f>
        <v/>
      </c>
      <c r="K9" s="6">
        <f>SUMIFS(예산집행!$D:$D,예산집행!$A:$A,$A9,예산집행!$E:$E,K$3)</f>
        <v/>
      </c>
    </row>
    <row r="10">
      <c r="A10" s="5" t="inlineStr">
        <is>
          <t>D07</t>
        </is>
      </c>
      <c r="B10" s="5">
        <f>_xlfn.XLOOKUP(A10,부서코드표!$A$2:$A$9,부서코드표!$B$2:$B$9,"미등록")</f>
        <v/>
      </c>
      <c r="C10" s="6">
        <f>SUMIFS(예산집행!$C:$C,예산집행!$A:$A,$A10)</f>
        <v/>
      </c>
      <c r="D10" s="6">
        <f>SUMIFS(예산집행!$D:$D,예산집행!$A:$A,$A10)</f>
        <v/>
      </c>
      <c r="E10" s="5">
        <f>IFERROR(ROUND(D10/C10*100,1),0)</f>
        <v/>
      </c>
      <c r="F10" s="5">
        <f>COUNTIFS(예산집행!$A:$A,$A10,예산집행!$C:$C,"&gt;0",예산집행!$F:$F,"&lt;70")</f>
        <v/>
      </c>
      <c r="G10" s="5">
        <f>_xlfn.IFS(E10&gt;=90,"우수",E10&gt;=70,"보통",TRUE,"부진")</f>
        <v/>
      </c>
      <c r="H10" s="6">
        <f>SUMIFS(예산집행!$D:$D,예산집행!$A:$A,$A10,예산집행!$E:$E,H$3)</f>
        <v/>
      </c>
      <c r="I10" s="6">
        <f>SUMIFS(예산집행!$D:$D,예산집행!$A:$A,$A10,예산집행!$E:$E,I$3)</f>
        <v/>
      </c>
      <c r="J10" s="6">
        <f>SUMIFS(예산집행!$D:$D,예산집행!$A:$A,$A10,예산집행!$E:$E,J$3)</f>
        <v/>
      </c>
      <c r="K10" s="6">
        <f>SUMIFS(예산집행!$D:$D,예산집행!$A:$A,$A10,예산집행!$E:$E,K$3)</f>
        <v/>
      </c>
    </row>
    <row r="11">
      <c r="A11" s="5" t="inlineStr">
        <is>
          <t>D08</t>
        </is>
      </c>
      <c r="B11" s="5">
        <f>_xlfn.XLOOKUP(A11,부서코드표!$A$2:$A$9,부서코드표!$B$2:$B$9,"미등록")</f>
        <v/>
      </c>
      <c r="C11" s="6">
        <f>SUMIFS(예산집행!$C:$C,예산집행!$A:$A,$A11)</f>
        <v/>
      </c>
      <c r="D11" s="6">
        <f>SUMIFS(예산집행!$D:$D,예산집행!$A:$A,$A11)</f>
        <v/>
      </c>
      <c r="E11" s="5">
        <f>IFERROR(ROUND(D11/C11*100,1),0)</f>
        <v/>
      </c>
      <c r="F11" s="5">
        <f>COUNTIFS(예산집행!$A:$A,$A11,예산집행!$C:$C,"&gt;0",예산집행!$F:$F,"&lt;70")</f>
        <v/>
      </c>
      <c r="G11" s="5">
        <f>_xlfn.IFS(E11&gt;=90,"우수",E11&gt;=70,"보통",TRUE,"부진")</f>
        <v/>
      </c>
      <c r="H11" s="6">
        <f>SUMIFS(예산집행!$D:$D,예산집행!$A:$A,$A11,예산집행!$E:$E,H$3)</f>
        <v/>
      </c>
      <c r="I11" s="6">
        <f>SUMIFS(예산집행!$D:$D,예산집행!$A:$A,$A11,예산집행!$E:$E,I$3)</f>
        <v/>
      </c>
      <c r="J11" s="6">
        <f>SUMIFS(예산집행!$D:$D,예산집행!$A:$A,$A11,예산집행!$E:$E,J$3)</f>
        <v/>
      </c>
      <c r="K11" s="6">
        <f>SUMIFS(예산집행!$D:$D,예산집행!$A:$A,$A11,예산집행!$E:$E,K$3)</f>
        <v/>
      </c>
    </row>
    <row r="12">
      <c r="A12" s="10" t="inlineStr">
        <is>
          <t>합계</t>
        </is>
      </c>
      <c r="B12" s="10" t="n"/>
      <c r="C12" s="11">
        <f>SUM(C4:C11)</f>
        <v/>
      </c>
      <c r="D12" s="11">
        <f>SUM(D4:D11)</f>
        <v/>
      </c>
      <c r="E12" s="10">
        <f>IFERROR(ROUND(D12/C12*100,1),0)</f>
        <v/>
      </c>
      <c r="F12" s="10">
        <f>SUM(F4:F11)</f>
        <v/>
      </c>
      <c r="G12" s="10" t="n"/>
      <c r="H12" s="11">
        <f>SUM(H4:H11)</f>
        <v/>
      </c>
      <c r="I12" s="11">
        <f>SUM(I4:I11)</f>
        <v/>
      </c>
      <c r="J12" s="11">
        <f>SUM(J4:J11)</f>
        <v/>
      </c>
      <c r="K12" s="11">
        <f>SUM(K4:K11)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
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안내" sheetId="1" state="visible" r:id="rId1"/>
    <sheet xmlns:r="http://schemas.openxmlformats.org/officeDocument/2006/relationships" name="직원" sheetId="2" state="visible" r:id="rId2"/>
    <sheet xmlns:r="http://schemas.openxmlformats.org/officeDocument/2006/relationships" name="연가기준표" sheetId="3" state="visible" r:id="rId3"/>
    <sheet xmlns:r="http://schemas.openxmlformats.org/officeDocument/2006/relationships" name="부서코드표" sheetId="4" state="visible" r:id="rId4"/>
    <sheet xmlns:r="http://schemas.openxmlformats.org/officeDocument/2006/relationships" name="설정" sheetId="5" state="visible" r:id="rId5"/>
    <sheet xmlns:r="http://schemas.openxmlformats.org/officeDocument/2006/relationships" name="시간외근무" sheetId="6" state="visible" r:id="rId6"/>
    <sheet xmlns:r="http://schemas.openxmlformats.org/officeDocument/2006/relationships" name="부서별현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color rgb="00B91C1C"/>
      <sz val="9"/>
    </font>
    <font>
      <name val="맑은 고딕"/>
      <b val="1"/>
      <color rgb="001D6F42"/>
      <sz val="16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3">
    <border>
      <left/>
      <right/>
      <top/>
      <bottom/>
      <diagonal/>
    </border>
    <border>
      <left style="thin">
        <color rgb="00C9D3CD"/>
      </left>
      <right style="thin">
        <color rgb="00C9D3CD"/>
      </right>
      <top style="thin">
        <color rgb="00C9D3CD"/>
      </top>
      <bottom style="thin">
        <color rgb="00C9D3CD"/>
      </bottom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9" fontId="2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20" fontId="2" fillId="0" borderId="1" pivotButton="0" quotePrefix="0" xfId="0"/>
    <xf numFmtId="0" fontId="1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3일차 · 인사 연차 관리(완성)</t>
        </is>
      </c>
    </row>
    <row r="4" ht="20" customHeight="1">
      <c r="B4" s="2" t="inlineStr">
        <is>
          <t>실습 목표 · 근속·연가·시간외근무 데이터를 날짜/시간 함수로 자동 계산</t>
        </is>
      </c>
    </row>
    <row r="5" ht="20" customHeight="1">
      <c r="B5" s="3" t="inlineStr">
        <is>
          <t>교재 연계 · 2장 Section 04 (절대·혼합 참조, 이름 정의), Section 05 (날짜·시간 함수), Section 06 (구간 기준표 조회)</t>
        </is>
      </c>
    </row>
    <row r="6" ht="20" customHeight="1">
      <c r="B6" s="3" t="inlineStr">
        <is>
          <t>데이터 · 전부 가상 데이터입니다. 연가기준표는 수업용 가상 기준이며 실제 복무 규정과 다를 수 있습니다.</t>
        </is>
      </c>
    </row>
    <row r="7" ht="20" customHeight="1">
      <c r="B7" s="2" t="inlineStr">
        <is>
          <t>진행 순서</t>
        </is>
      </c>
    </row>
    <row r="8" ht="20" customHeight="1">
      <c r="B8" s="3" t="inlineStr">
        <is>
          <t>1) 직원 시트 F열 근속연수 (DATEDIF), G열 근속개월 → 기준일은 설정 시트 B2 (절대참조 $B$2 사용)</t>
        </is>
      </c>
    </row>
    <row r="9" ht="20" customHeight="1">
      <c r="B9" s="3" t="inlineStr">
        <is>
          <t>2) H열 연가일수: 연가기준표에서 '근속개월 이상' 구간으로 조회 (XLOOKUP 일치 모드 -1 또는 LOOKUP)</t>
        </is>
      </c>
    </row>
    <row r="10" ht="20" customHeight="1">
      <c r="B10" s="3" t="inlineStr">
        <is>
          <t>3) J·K·L열: 잔여일수, 소진율, 잔여 10일 이상이면 '사용 안내' 표시</t>
        </is>
      </c>
    </row>
    <row r="11" ht="20" customHeight="1">
      <c r="B11" s="3" t="inlineStr">
        <is>
          <t>4) 시간외근무 시트: 퇴근이 자정을 넘는 행이 있습니다. 단순히 퇴근-출근으로 계산하면 음수가 나옵니다. 왜 그런지 AI에게 묻고 수정해 보세요.</t>
        </is>
      </c>
    </row>
    <row r="12" ht="20" customHeight="1">
      <c r="B12" s="3" t="inlineStr">
        <is>
          <t>5) 부서별현황 시트: COUNTIF / AVERAGEIFS / SUMIFS로 부서별 요약</t>
        </is>
      </c>
    </row>
    <row r="13" ht="20" customHeight="1">
      <c r="B13" s="2" t="inlineStr">
        <is>
          <t>AI 활용 지점</t>
        </is>
      </c>
    </row>
    <row r="14" ht="20" customHeight="1">
      <c r="B14" s="3" t="inlineStr">
        <is>
          <t>· 규정·기준 값(연가 일수 등)은 AI가 알려줘도 반드시 원문 규정으로 확인합니다. 수식은 맞아도 기준 값이 틀릴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4" customWidth="1" min="12" max="12"/>
  </cols>
  <sheetData>
    <row r="1">
      <c r="A1" s="4" t="inlineStr">
        <is>
          <t>사번</t>
        </is>
      </c>
      <c r="B1" s="4" t="inlineStr">
        <is>
          <t>이름</t>
        </is>
      </c>
      <c r="C1" s="4" t="inlineStr">
        <is>
          <t>부서코드</t>
        </is>
      </c>
      <c r="D1" s="4" t="inlineStr">
        <is>
          <t>직급</t>
        </is>
      </c>
      <c r="E1" s="4" t="inlineStr">
        <is>
          <t>임용일</t>
        </is>
      </c>
      <c r="F1" s="4" t="inlineStr">
        <is>
          <t>근속연수</t>
        </is>
      </c>
      <c r="G1" s="4" t="inlineStr">
        <is>
          <t>근속개월</t>
        </is>
      </c>
      <c r="H1" s="4" t="inlineStr">
        <is>
          <t>연가일수</t>
        </is>
      </c>
      <c r="I1" s="4" t="inlineStr">
        <is>
          <t>사용일수</t>
        </is>
      </c>
      <c r="J1" s="4" t="inlineStr">
        <is>
          <t>잔여일수</t>
        </is>
      </c>
      <c r="K1" s="4" t="inlineStr">
        <is>
          <t>소진율</t>
        </is>
      </c>
      <c r="L1" s="4" t="inlineStr">
        <is>
          <t>안내대상</t>
        </is>
      </c>
    </row>
    <row r="2">
      <c r="A2" s="5" t="inlineStr">
        <is>
          <t>G001</t>
        </is>
      </c>
      <c r="B2" s="5" t="inlineStr">
        <is>
          <t>이은지</t>
        </is>
      </c>
      <c r="C2" s="5" t="inlineStr">
        <is>
          <t>D01</t>
        </is>
      </c>
      <c r="D2" s="5" t="inlineStr">
        <is>
          <t>6급</t>
        </is>
      </c>
      <c r="E2" s="6" t="n">
        <v>45295</v>
      </c>
      <c r="F2" s="5">
        <f>DATEDIF(E2,설정!$B$2,"y")</f>
        <v/>
      </c>
      <c r="G2" s="5">
        <f>DATEDIF(E2,설정!$B$2,"m")</f>
        <v/>
      </c>
      <c r="H2" s="5">
        <f>_xlfn.XLOOKUP(G2,연가기준표!$A$2:$A$9,연가기준표!$B$2:$B$9,0,-1)</f>
        <v/>
      </c>
      <c r="I2" s="5" t="n">
        <v>6</v>
      </c>
      <c r="J2" s="5">
        <f>H2-I2</f>
        <v/>
      </c>
      <c r="K2" s="7">
        <f>IFERROR(I2/H2,0)</f>
        <v/>
      </c>
      <c r="L2" s="5">
        <f>IF(J2=0,"소진",IF(J2&gt;=10,"사용 안내","") )</f>
        <v/>
      </c>
    </row>
    <row r="3">
      <c r="A3" s="5" t="inlineStr">
        <is>
          <t>G002</t>
        </is>
      </c>
      <c r="B3" s="5" t="inlineStr">
        <is>
          <t>서정훈</t>
        </is>
      </c>
      <c r="C3" s="5" t="inlineStr">
        <is>
          <t>D02</t>
        </is>
      </c>
      <c r="D3" s="5" t="inlineStr">
        <is>
          <t>9급</t>
        </is>
      </c>
      <c r="E3" s="6" t="n">
        <v>44353</v>
      </c>
      <c r="F3" s="5">
        <f>DATEDIF(E3,설정!$B$2,"y")</f>
        <v/>
      </c>
      <c r="G3" s="5">
        <f>DATEDIF(E3,설정!$B$2,"m")</f>
        <v/>
      </c>
      <c r="H3" s="5">
        <f>_xlfn.XLOOKUP(G3,연가기준표!$A$2:$A$9,연가기준표!$B$2:$B$9,0,-1)</f>
        <v/>
      </c>
      <c r="I3" s="5" t="n">
        <v>6</v>
      </c>
      <c r="J3" s="5">
        <f>H3-I3</f>
        <v/>
      </c>
      <c r="K3" s="7">
        <f>IFERROR(I3/H3,0)</f>
        <v/>
      </c>
      <c r="L3" s="5">
        <f>IF(J3=0,"소진",IF(J3&gt;=10,"사용 안내","") )</f>
        <v/>
      </c>
    </row>
    <row r="4">
      <c r="A4" s="5" t="inlineStr">
        <is>
          <t>G003</t>
        </is>
      </c>
      <c r="B4" s="5" t="inlineStr">
        <is>
          <t>조재현</t>
        </is>
      </c>
      <c r="C4" s="5" t="inlineStr">
        <is>
          <t>D03</t>
        </is>
      </c>
      <c r="D4" s="5" t="inlineStr">
        <is>
          <t>8급</t>
        </is>
      </c>
      <c r="E4" s="6" t="n">
        <v>45378</v>
      </c>
      <c r="F4" s="5">
        <f>DATEDIF(E4,설정!$B$2,"y")</f>
        <v/>
      </c>
      <c r="G4" s="5">
        <f>DATEDIF(E4,설정!$B$2,"m")</f>
        <v/>
      </c>
      <c r="H4" s="5">
        <f>_xlfn.XLOOKUP(G4,연가기준표!$A$2:$A$9,연가기준표!$B$2:$B$9,0,-1)</f>
        <v/>
      </c>
      <c r="I4" s="5" t="n">
        <v>7</v>
      </c>
      <c r="J4" s="5">
        <f>H4-I4</f>
        <v/>
      </c>
      <c r="K4" s="7">
        <f>IFERROR(I4/H4,0)</f>
        <v/>
      </c>
      <c r="L4" s="5">
        <f>IF(J4=0,"소진",IF(J4&gt;=10,"사용 안내","") )</f>
        <v/>
      </c>
    </row>
    <row r="5">
      <c r="A5" s="5" t="inlineStr">
        <is>
          <t>G004</t>
        </is>
      </c>
      <c r="B5" s="5" t="inlineStr">
        <is>
          <t>신서윤</t>
        </is>
      </c>
      <c r="C5" s="5" t="inlineStr">
        <is>
          <t>D04</t>
        </is>
      </c>
      <c r="D5" s="5" t="inlineStr">
        <is>
          <t>7급</t>
        </is>
      </c>
      <c r="E5" s="6" t="n">
        <v>41784</v>
      </c>
      <c r="F5" s="5">
        <f>DATEDIF(E5,설정!$B$2,"y")</f>
        <v/>
      </c>
      <c r="G5" s="5">
        <f>DATEDIF(E5,설정!$B$2,"m")</f>
        <v/>
      </c>
      <c r="H5" s="5">
        <f>_xlfn.XLOOKUP(G5,연가기준표!$A$2:$A$9,연가기준표!$B$2:$B$9,0,-1)</f>
        <v/>
      </c>
      <c r="I5" s="5" t="n">
        <v>2</v>
      </c>
      <c r="J5" s="5">
        <f>H5-I5</f>
        <v/>
      </c>
      <c r="K5" s="7">
        <f>IFERROR(I5/H5,0)</f>
        <v/>
      </c>
      <c r="L5" s="5">
        <f>IF(J5=0,"소진",IF(J5&gt;=10,"사용 안내","") )</f>
        <v/>
      </c>
    </row>
    <row r="6">
      <c r="A6" s="5" t="inlineStr">
        <is>
          <t>G005</t>
        </is>
      </c>
      <c r="B6" s="5" t="inlineStr">
        <is>
          <t>조도윤</t>
        </is>
      </c>
      <c r="C6" s="5" t="inlineStr">
        <is>
          <t>D05</t>
        </is>
      </c>
      <c r="D6" s="5" t="inlineStr">
        <is>
          <t>7급</t>
        </is>
      </c>
      <c r="E6" s="6" t="n">
        <v>44088</v>
      </c>
      <c r="F6" s="5">
        <f>DATEDIF(E6,설정!$B$2,"y")</f>
        <v/>
      </c>
      <c r="G6" s="5">
        <f>DATEDIF(E6,설정!$B$2,"m")</f>
        <v/>
      </c>
      <c r="H6" s="5">
        <f>_xlfn.XLOOKUP(G6,연가기준표!$A$2:$A$9,연가기준표!$B$2:$B$9,0,-1)</f>
        <v/>
      </c>
      <c r="I6" s="5" t="n">
        <v>15</v>
      </c>
      <c r="J6" s="5">
        <f>H6-I6</f>
        <v/>
      </c>
      <c r="K6" s="7">
        <f>IFERROR(I6/H6,0)</f>
        <v/>
      </c>
      <c r="L6" s="5">
        <f>IF(J6=0,"소진",IF(J6&gt;=10,"사용 안내","") )</f>
        <v/>
      </c>
    </row>
    <row r="7">
      <c r="A7" s="5" t="inlineStr">
        <is>
          <t>G006</t>
        </is>
      </c>
      <c r="B7" s="5" t="inlineStr">
        <is>
          <t>송은지</t>
        </is>
      </c>
      <c r="C7" s="5" t="inlineStr">
        <is>
          <t>D06</t>
        </is>
      </c>
      <c r="D7" s="5" t="inlineStr">
        <is>
          <t>6급</t>
        </is>
      </c>
      <c r="E7" s="6" t="n">
        <v>43575</v>
      </c>
      <c r="F7" s="5">
        <f>DATEDIF(E7,설정!$B$2,"y")</f>
        <v/>
      </c>
      <c r="G7" s="5">
        <f>DATEDIF(E7,설정!$B$2,"m")</f>
        <v/>
      </c>
      <c r="H7" s="5">
        <f>_xlfn.XLOOKUP(G7,연가기준표!$A$2:$A$9,연가기준표!$B$2:$B$9,0,-1)</f>
        <v/>
      </c>
      <c r="I7" s="5" t="n">
        <v>2</v>
      </c>
      <c r="J7" s="5">
        <f>H7-I7</f>
        <v/>
      </c>
      <c r="K7" s="7">
        <f>IFERROR(I7/H7,0)</f>
        <v/>
      </c>
      <c r="L7" s="5">
        <f>IF(J7=0,"소진",IF(J7&gt;=10,"사용 안내","") )</f>
        <v/>
      </c>
    </row>
    <row r="8">
      <c r="A8" s="5" t="inlineStr">
        <is>
          <t>G007</t>
        </is>
      </c>
      <c r="B8" s="5" t="inlineStr">
        <is>
          <t>한재현</t>
        </is>
      </c>
      <c r="C8" s="5" t="inlineStr">
        <is>
          <t>D07</t>
        </is>
      </c>
      <c r="D8" s="5" t="inlineStr">
        <is>
          <t>7급</t>
        </is>
      </c>
      <c r="E8" s="6" t="n">
        <v>46243</v>
      </c>
      <c r="F8" s="5">
        <f>DATEDIF(E8,설정!$B$2,"y")</f>
        <v/>
      </c>
      <c r="G8" s="5">
        <f>DATEDIF(E8,설정!$B$2,"m")</f>
        <v/>
      </c>
      <c r="H8" s="5">
        <f>_xlfn.XLOOKUP(G8,연가기준표!$A$2:$A$9,연가기준표!$B$2:$B$9,0,-1)</f>
        <v/>
      </c>
      <c r="I8" s="5" t="n">
        <v>0</v>
      </c>
      <c r="J8" s="5">
        <f>H8-I8</f>
        <v/>
      </c>
      <c r="K8" s="7">
        <f>IFERROR(I8/H8,0)</f>
        <v/>
      </c>
      <c r="L8" s="5">
        <f>IF(J8=0,"소진",IF(J8&gt;=10,"사용 안내","") )</f>
        <v/>
      </c>
    </row>
    <row r="9">
      <c r="A9" s="5" t="inlineStr">
        <is>
          <t>G008</t>
        </is>
      </c>
      <c r="B9" s="5" t="inlineStr">
        <is>
          <t>박미래</t>
        </is>
      </c>
      <c r="C9" s="5" t="inlineStr">
        <is>
          <t>D08</t>
        </is>
      </c>
      <c r="D9" s="5" t="inlineStr">
        <is>
          <t>6급</t>
        </is>
      </c>
      <c r="E9" s="6" t="n">
        <v>46191</v>
      </c>
      <c r="F9" s="5">
        <f>DATEDIF(E9,설정!$B$2,"y")</f>
        <v/>
      </c>
      <c r="G9" s="5">
        <f>DATEDIF(E9,설정!$B$2,"m")</f>
        <v/>
      </c>
      <c r="H9" s="5">
        <f>_xlfn.XLOOKUP(G9,연가기준표!$A$2:$A$9,연가기준표!$B$2:$B$9,0,-1)</f>
        <v/>
      </c>
      <c r="I9" s="5" t="n">
        <v>1</v>
      </c>
      <c r="J9" s="5">
        <f>H9-I9</f>
        <v/>
      </c>
      <c r="K9" s="7">
        <f>IFERROR(I9/H9,0)</f>
        <v/>
      </c>
      <c r="L9" s="5">
        <f>IF(J9=0,"소진",IF(J9&gt;=10,"사용 안내","") )</f>
        <v/>
      </c>
    </row>
    <row r="10">
      <c r="A10" s="5" t="inlineStr">
        <is>
          <t>G009</t>
        </is>
      </c>
      <c r="B10" s="5" t="inlineStr">
        <is>
          <t>권수아</t>
        </is>
      </c>
      <c r="C10" s="5" t="inlineStr">
        <is>
          <t>D01</t>
        </is>
      </c>
      <c r="D10" s="5" t="inlineStr">
        <is>
          <t>6급</t>
        </is>
      </c>
      <c r="E10" s="6" t="n">
        <v>43162</v>
      </c>
      <c r="F10" s="5">
        <f>DATEDIF(E10,설정!$B$2,"y")</f>
        <v/>
      </c>
      <c r="G10" s="5">
        <f>DATEDIF(E10,설정!$B$2,"m")</f>
        <v/>
      </c>
      <c r="H10" s="5">
        <f>_xlfn.XLOOKUP(G10,연가기준표!$A$2:$A$9,연가기준표!$B$2:$B$9,0,-1)</f>
        <v/>
      </c>
      <c r="I10" s="5" t="n">
        <v>8</v>
      </c>
      <c r="J10" s="5">
        <f>H10-I10</f>
        <v/>
      </c>
      <c r="K10" s="7">
        <f>IFERROR(I10/H10,0)</f>
        <v/>
      </c>
      <c r="L10" s="5">
        <f>IF(J10=0,"소진",IF(J10&gt;=10,"사용 안내","") )</f>
        <v/>
      </c>
    </row>
    <row r="11">
      <c r="A11" s="5" t="inlineStr">
        <is>
          <t>G010</t>
        </is>
      </c>
      <c r="B11" s="5" t="inlineStr">
        <is>
          <t>홍다은</t>
        </is>
      </c>
      <c r="C11" s="5" t="inlineStr">
        <is>
          <t>D02</t>
        </is>
      </c>
      <c r="D11" s="5" t="inlineStr">
        <is>
          <t>6급</t>
        </is>
      </c>
      <c r="E11" s="6" t="n">
        <v>46122</v>
      </c>
      <c r="F11" s="5">
        <f>DATEDIF(E11,설정!$B$2,"y")</f>
        <v/>
      </c>
      <c r="G11" s="5">
        <f>DATEDIF(E11,설정!$B$2,"m")</f>
        <v/>
      </c>
      <c r="H11" s="5">
        <f>_xlfn.XLOOKUP(G11,연가기준표!$A$2:$A$9,연가기준표!$B$2:$B$9,0,-1)</f>
        <v/>
      </c>
      <c r="I11" s="5" t="n">
        <v>1</v>
      </c>
      <c r="J11" s="5">
        <f>H11-I11</f>
        <v/>
      </c>
      <c r="K11" s="7">
        <f>IFERROR(I11/H11,0)</f>
        <v/>
      </c>
      <c r="L11" s="5">
        <f>IF(J11=0,"소진",IF(J11&gt;=10,"사용 안내","") )</f>
        <v/>
      </c>
    </row>
    <row r="12">
      <c r="A12" s="5" t="inlineStr">
        <is>
          <t>G011</t>
        </is>
      </c>
      <c r="B12" s="5" t="inlineStr">
        <is>
          <t>임재현</t>
        </is>
      </c>
      <c r="C12" s="5" t="inlineStr">
        <is>
          <t>D03</t>
        </is>
      </c>
      <c r="D12" s="5" t="inlineStr">
        <is>
          <t>7급</t>
        </is>
      </c>
      <c r="E12" s="6" t="n">
        <v>44205</v>
      </c>
      <c r="F12" s="5">
        <f>DATEDIF(E12,설정!$B$2,"y")</f>
        <v/>
      </c>
      <c r="G12" s="5">
        <f>DATEDIF(E12,설정!$B$2,"m")</f>
        <v/>
      </c>
      <c r="H12" s="5">
        <f>_xlfn.XLOOKUP(G12,연가기준표!$A$2:$A$9,연가기준표!$B$2:$B$9,0,-1)</f>
        <v/>
      </c>
      <c r="I12" s="5" t="n">
        <v>7</v>
      </c>
      <c r="J12" s="5">
        <f>H12-I12</f>
        <v/>
      </c>
      <c r="K12" s="7">
        <f>IFERROR(I12/H12,0)</f>
        <v/>
      </c>
      <c r="L12" s="5">
        <f>IF(J12=0,"소진",IF(J12&gt;=10,"사용 안내","") )</f>
        <v/>
      </c>
    </row>
    <row r="13">
      <c r="A13" s="5" t="inlineStr">
        <is>
          <t>G012</t>
        </is>
      </c>
      <c r="B13" s="5" t="inlineStr">
        <is>
          <t>권건우</t>
        </is>
      </c>
      <c r="C13" s="5" t="inlineStr">
        <is>
          <t>D04</t>
        </is>
      </c>
      <c r="D13" s="5" t="inlineStr">
        <is>
          <t>5급</t>
        </is>
      </c>
      <c r="E13" s="6" t="n">
        <v>40325</v>
      </c>
      <c r="F13" s="5">
        <f>DATEDIF(E13,설정!$B$2,"y")</f>
        <v/>
      </c>
      <c r="G13" s="5">
        <f>DATEDIF(E13,설정!$B$2,"m")</f>
        <v/>
      </c>
      <c r="H13" s="5">
        <f>_xlfn.XLOOKUP(G13,연가기준표!$A$2:$A$9,연가기준표!$B$2:$B$9,0,-1)</f>
        <v/>
      </c>
      <c r="I13" s="5" t="n">
        <v>20</v>
      </c>
      <c r="J13" s="5">
        <f>H13-I13</f>
        <v/>
      </c>
      <c r="K13" s="7">
        <f>IFERROR(I13/H13,0)</f>
        <v/>
      </c>
      <c r="L13" s="5">
        <f>IF(J13=0,"소진",IF(J13&gt;=10,"사용 안내","") )</f>
        <v/>
      </c>
    </row>
    <row r="14">
      <c r="A14" s="5" t="inlineStr">
        <is>
          <t>G013</t>
        </is>
      </c>
      <c r="B14" s="5" t="inlineStr">
        <is>
          <t>안다은</t>
        </is>
      </c>
      <c r="C14" s="5" t="inlineStr">
        <is>
          <t>D05</t>
        </is>
      </c>
      <c r="D14" s="5" t="inlineStr">
        <is>
          <t>7급</t>
        </is>
      </c>
      <c r="E14" s="6" t="n">
        <v>41107</v>
      </c>
      <c r="F14" s="5">
        <f>DATEDIF(E14,설정!$B$2,"y")</f>
        <v/>
      </c>
      <c r="G14" s="5">
        <f>DATEDIF(E14,설정!$B$2,"m")</f>
        <v/>
      </c>
      <c r="H14" s="5">
        <f>_xlfn.XLOOKUP(G14,연가기준표!$A$2:$A$9,연가기준표!$B$2:$B$9,0,-1)</f>
        <v/>
      </c>
      <c r="I14" s="5" t="n">
        <v>11</v>
      </c>
      <c r="J14" s="5">
        <f>H14-I14</f>
        <v/>
      </c>
      <c r="K14" s="7">
        <f>IFERROR(I14/H14,0)</f>
        <v/>
      </c>
      <c r="L14" s="5">
        <f>IF(J14=0,"소진",IF(J14&gt;=10,"사용 안내","") )</f>
        <v/>
      </c>
    </row>
    <row r="15">
      <c r="A15" s="5" t="inlineStr">
        <is>
          <t>G014</t>
        </is>
      </c>
      <c r="B15" s="5" t="inlineStr">
        <is>
          <t>장하은</t>
        </is>
      </c>
      <c r="C15" s="5" t="inlineStr">
        <is>
          <t>D06</t>
        </is>
      </c>
      <c r="D15" s="5" t="inlineStr">
        <is>
          <t>8급</t>
        </is>
      </c>
      <c r="E15" s="6" t="n">
        <v>43865</v>
      </c>
      <c r="F15" s="5">
        <f>DATEDIF(E15,설정!$B$2,"y")</f>
        <v/>
      </c>
      <c r="G15" s="5">
        <f>DATEDIF(E15,설정!$B$2,"m")</f>
        <v/>
      </c>
      <c r="H15" s="5">
        <f>_xlfn.XLOOKUP(G15,연가기준표!$A$2:$A$9,연가기준표!$B$2:$B$9,0,-1)</f>
        <v/>
      </c>
      <c r="I15" s="5" t="n">
        <v>2</v>
      </c>
      <c r="J15" s="5">
        <f>H15-I15</f>
        <v/>
      </c>
      <c r="K15" s="7">
        <f>IFERROR(I15/H15,0)</f>
        <v/>
      </c>
      <c r="L15" s="5">
        <f>IF(J15=0,"소진",IF(J15&gt;=10,"사용 안내","") )</f>
        <v/>
      </c>
    </row>
    <row r="16">
      <c r="A16" s="5" t="inlineStr">
        <is>
          <t>G015</t>
        </is>
      </c>
      <c r="B16" s="5" t="inlineStr">
        <is>
          <t>한가영</t>
        </is>
      </c>
      <c r="C16" s="5" t="inlineStr">
        <is>
          <t>D07</t>
        </is>
      </c>
      <c r="D16" s="5" t="inlineStr">
        <is>
          <t>8급</t>
        </is>
      </c>
      <c r="E16" s="6" t="n">
        <v>44628</v>
      </c>
      <c r="F16" s="5">
        <f>DATEDIF(E16,설정!$B$2,"y")</f>
        <v/>
      </c>
      <c r="G16" s="5">
        <f>DATEDIF(E16,설정!$B$2,"m")</f>
        <v/>
      </c>
      <c r="H16" s="5">
        <f>_xlfn.XLOOKUP(G16,연가기준표!$A$2:$A$9,연가기준표!$B$2:$B$9,0,-1)</f>
        <v/>
      </c>
      <c r="I16" s="5" t="n">
        <v>6</v>
      </c>
      <c r="J16" s="5">
        <f>H16-I16</f>
        <v/>
      </c>
      <c r="K16" s="7">
        <f>IFERROR(I16/H16,0)</f>
        <v/>
      </c>
      <c r="L16" s="5">
        <f>IF(J16=0,"소진",IF(J16&gt;=10,"사용 안내","") )</f>
        <v/>
      </c>
    </row>
    <row r="17">
      <c r="A17" s="5" t="inlineStr">
        <is>
          <t>G016</t>
        </is>
      </c>
      <c r="B17" s="5" t="inlineStr">
        <is>
          <t>홍보라</t>
        </is>
      </c>
      <c r="C17" s="5" t="inlineStr">
        <is>
          <t>D08</t>
        </is>
      </c>
      <c r="D17" s="5" t="inlineStr">
        <is>
          <t>7급</t>
        </is>
      </c>
      <c r="E17" s="6" t="n">
        <v>43564</v>
      </c>
      <c r="F17" s="5">
        <f>DATEDIF(E17,설정!$B$2,"y")</f>
        <v/>
      </c>
      <c r="G17" s="5">
        <f>DATEDIF(E17,설정!$B$2,"m")</f>
        <v/>
      </c>
      <c r="H17" s="5">
        <f>_xlfn.XLOOKUP(G17,연가기준표!$A$2:$A$9,연가기준표!$B$2:$B$9,0,-1)</f>
        <v/>
      </c>
      <c r="I17" s="5" t="n">
        <v>10</v>
      </c>
      <c r="J17" s="5">
        <f>H17-I17</f>
        <v/>
      </c>
      <c r="K17" s="7">
        <f>IFERROR(I17/H17,0)</f>
        <v/>
      </c>
      <c r="L17" s="5">
        <f>IF(J17=0,"소진",IF(J17&gt;=10,"사용 안내","") )</f>
        <v/>
      </c>
    </row>
    <row r="18">
      <c r="A18" s="5" t="inlineStr">
        <is>
          <t>G017</t>
        </is>
      </c>
      <c r="B18" s="5" t="inlineStr">
        <is>
          <t>류세아</t>
        </is>
      </c>
      <c r="C18" s="5" t="inlineStr">
        <is>
          <t>D01</t>
        </is>
      </c>
      <c r="D18" s="5" t="inlineStr">
        <is>
          <t>6급</t>
        </is>
      </c>
      <c r="E18" s="6" t="n">
        <v>45418</v>
      </c>
      <c r="F18" s="5">
        <f>DATEDIF(E18,설정!$B$2,"y")</f>
        <v/>
      </c>
      <c r="G18" s="5">
        <f>DATEDIF(E18,설정!$B$2,"m")</f>
        <v/>
      </c>
      <c r="H18" s="5">
        <f>_xlfn.XLOOKUP(G18,연가기준표!$A$2:$A$9,연가기준표!$B$2:$B$9,0,-1)</f>
        <v/>
      </c>
      <c r="I18" s="5" t="n">
        <v>8</v>
      </c>
      <c r="J18" s="5">
        <f>H18-I18</f>
        <v/>
      </c>
      <c r="K18" s="7">
        <f>IFERROR(I18/H18,0)</f>
        <v/>
      </c>
      <c r="L18" s="5">
        <f>IF(J18=0,"소진",IF(J18&gt;=10,"사용 안내","") )</f>
        <v/>
      </c>
    </row>
    <row r="19">
      <c r="A19" s="5" t="inlineStr">
        <is>
          <t>G018</t>
        </is>
      </c>
      <c r="B19" s="5" t="inlineStr">
        <is>
          <t>안성민</t>
        </is>
      </c>
      <c r="C19" s="5" t="inlineStr">
        <is>
          <t>D02</t>
        </is>
      </c>
      <c r="D19" s="5" t="inlineStr">
        <is>
          <t>6급</t>
        </is>
      </c>
      <c r="E19" s="6" t="n">
        <v>44331</v>
      </c>
      <c r="F19" s="5">
        <f>DATEDIF(E19,설정!$B$2,"y")</f>
        <v/>
      </c>
      <c r="G19" s="5">
        <f>DATEDIF(E19,설정!$B$2,"m")</f>
        <v/>
      </c>
      <c r="H19" s="5">
        <f>_xlfn.XLOOKUP(G19,연가기준표!$A$2:$A$9,연가기준표!$B$2:$B$9,0,-1)</f>
        <v/>
      </c>
      <c r="I19" s="5" t="n">
        <v>11</v>
      </c>
      <c r="J19" s="5">
        <f>H19-I19</f>
        <v/>
      </c>
      <c r="K19" s="7">
        <f>IFERROR(I19/H19,0)</f>
        <v/>
      </c>
      <c r="L19" s="5">
        <f>IF(J19=0,"소진",IF(J19&gt;=10,"사용 안내","") )</f>
        <v/>
      </c>
    </row>
    <row r="20">
      <c r="A20" s="5" t="inlineStr">
        <is>
          <t>G019</t>
        </is>
      </c>
      <c r="B20" s="5" t="inlineStr">
        <is>
          <t>송지호</t>
        </is>
      </c>
      <c r="C20" s="5" t="inlineStr">
        <is>
          <t>D03</t>
        </is>
      </c>
      <c r="D20" s="5" t="inlineStr">
        <is>
          <t>8급</t>
        </is>
      </c>
      <c r="E20" s="6" t="n">
        <v>45713</v>
      </c>
      <c r="F20" s="5">
        <f>DATEDIF(E20,설정!$B$2,"y")</f>
        <v/>
      </c>
      <c r="G20" s="5">
        <f>DATEDIF(E20,설정!$B$2,"m")</f>
        <v/>
      </c>
      <c r="H20" s="5">
        <f>_xlfn.XLOOKUP(G20,연가기준표!$A$2:$A$9,연가기준표!$B$2:$B$9,0,-1)</f>
        <v/>
      </c>
      <c r="I20" s="5" t="n">
        <v>0</v>
      </c>
      <c r="J20" s="5">
        <f>H20-I20</f>
        <v/>
      </c>
      <c r="K20" s="7">
        <f>IFERROR(I20/H20,0)</f>
        <v/>
      </c>
      <c r="L20" s="5">
        <f>IF(J20=0,"소진",IF(J20&gt;=10,"사용 안내","") )</f>
        <v/>
      </c>
    </row>
    <row r="21">
      <c r="A21" s="5" t="inlineStr">
        <is>
          <t>G020</t>
        </is>
      </c>
      <c r="B21" s="5" t="inlineStr">
        <is>
          <t>강준서</t>
        </is>
      </c>
      <c r="C21" s="5" t="inlineStr">
        <is>
          <t>D04</t>
        </is>
      </c>
      <c r="D21" s="5" t="inlineStr">
        <is>
          <t>6급</t>
        </is>
      </c>
      <c r="E21" s="6" t="n">
        <v>43282</v>
      </c>
      <c r="F21" s="5">
        <f>DATEDIF(E21,설정!$B$2,"y")</f>
        <v/>
      </c>
      <c r="G21" s="5">
        <f>DATEDIF(E21,설정!$B$2,"m")</f>
        <v/>
      </c>
      <c r="H21" s="5">
        <f>_xlfn.XLOOKUP(G21,연가기준표!$A$2:$A$9,연가기준표!$B$2:$B$9,0,-1)</f>
        <v/>
      </c>
      <c r="I21" s="5" t="n">
        <v>19</v>
      </c>
      <c r="J21" s="5">
        <f>H21-I21</f>
        <v/>
      </c>
      <c r="K21" s="7">
        <f>IFERROR(I21/H21,0)</f>
        <v/>
      </c>
      <c r="L21" s="5">
        <f>IF(J21=0,"소진",IF(J21&gt;=10,"사용 안내","") )</f>
        <v/>
      </c>
    </row>
    <row r="22">
      <c r="A22" s="5" t="inlineStr">
        <is>
          <t>G021</t>
        </is>
      </c>
      <c r="B22" s="5" t="inlineStr">
        <is>
          <t>송재현</t>
        </is>
      </c>
      <c r="C22" s="5" t="inlineStr">
        <is>
          <t>D05</t>
        </is>
      </c>
      <c r="D22" s="5" t="inlineStr">
        <is>
          <t>9급</t>
        </is>
      </c>
      <c r="E22" s="6" t="n">
        <v>45090</v>
      </c>
      <c r="F22" s="5">
        <f>DATEDIF(E22,설정!$B$2,"y")</f>
        <v/>
      </c>
      <c r="G22" s="5">
        <f>DATEDIF(E22,설정!$B$2,"m")</f>
        <v/>
      </c>
      <c r="H22" s="5">
        <f>_xlfn.XLOOKUP(G22,연가기준표!$A$2:$A$9,연가기준표!$B$2:$B$9,0,-1)</f>
        <v/>
      </c>
      <c r="I22" s="5" t="n">
        <v>8</v>
      </c>
      <c r="J22" s="5">
        <f>H22-I22</f>
        <v/>
      </c>
      <c r="K22" s="7">
        <f>IFERROR(I22/H22,0)</f>
        <v/>
      </c>
      <c r="L22" s="5">
        <f>IF(J22=0,"소진",IF(J22&gt;=10,"사용 안내","") )</f>
        <v/>
      </c>
    </row>
    <row r="23">
      <c r="A23" s="5" t="inlineStr">
        <is>
          <t>G022</t>
        </is>
      </c>
      <c r="B23" s="5" t="inlineStr">
        <is>
          <t>이정훈</t>
        </is>
      </c>
      <c r="C23" s="5" t="inlineStr">
        <is>
          <t>D06</t>
        </is>
      </c>
      <c r="D23" s="5" t="inlineStr">
        <is>
          <t>5급</t>
        </is>
      </c>
      <c r="E23" s="6" t="n">
        <v>44564</v>
      </c>
      <c r="F23" s="5">
        <f>DATEDIF(E23,설정!$B$2,"y")</f>
        <v/>
      </c>
      <c r="G23" s="5">
        <f>DATEDIF(E23,설정!$B$2,"m")</f>
        <v/>
      </c>
      <c r="H23" s="5">
        <f>_xlfn.XLOOKUP(G23,연가기준표!$A$2:$A$9,연가기준표!$B$2:$B$9,0,-1)</f>
        <v/>
      </c>
      <c r="I23" s="5" t="n">
        <v>10</v>
      </c>
      <c r="J23" s="5">
        <f>H23-I23</f>
        <v/>
      </c>
      <c r="K23" s="7">
        <f>IFERROR(I23/H23,0)</f>
        <v/>
      </c>
      <c r="L23" s="5">
        <f>IF(J23=0,"소진",IF(J23&gt;=10,"사용 안내","") )</f>
        <v/>
      </c>
    </row>
    <row r="24">
      <c r="A24" s="5" t="inlineStr">
        <is>
          <t>G023</t>
        </is>
      </c>
      <c r="B24" s="5" t="inlineStr">
        <is>
          <t>한승현</t>
        </is>
      </c>
      <c r="C24" s="5" t="inlineStr">
        <is>
          <t>D07</t>
        </is>
      </c>
      <c r="D24" s="5" t="inlineStr">
        <is>
          <t>5급</t>
        </is>
      </c>
      <c r="E24" s="6" t="n">
        <v>45678</v>
      </c>
      <c r="F24" s="5">
        <f>DATEDIF(E24,설정!$B$2,"y")</f>
        <v/>
      </c>
      <c r="G24" s="5">
        <f>DATEDIF(E24,설정!$B$2,"m")</f>
        <v/>
      </c>
      <c r="H24" s="5">
        <f>_xlfn.XLOOKUP(G24,연가기준표!$A$2:$A$9,연가기준표!$B$2:$B$9,0,-1)</f>
        <v/>
      </c>
      <c r="I24" s="5" t="n">
        <v>3</v>
      </c>
      <c r="J24" s="5">
        <f>H24-I24</f>
        <v/>
      </c>
      <c r="K24" s="7">
        <f>IFERROR(I24/H24,0)</f>
        <v/>
      </c>
      <c r="L24" s="5">
        <f>IF(J24=0,"소진",IF(J24&gt;=10,"사용 안내","") )</f>
        <v/>
      </c>
    </row>
    <row r="25">
      <c r="A25" s="5" t="inlineStr">
        <is>
          <t>G024</t>
        </is>
      </c>
      <c r="B25" s="5" t="inlineStr">
        <is>
          <t>김태민</t>
        </is>
      </c>
      <c r="C25" s="5" t="inlineStr">
        <is>
          <t>D08</t>
        </is>
      </c>
      <c r="D25" s="5" t="inlineStr">
        <is>
          <t>6급</t>
        </is>
      </c>
      <c r="E25" s="6" t="n">
        <v>40392</v>
      </c>
      <c r="F25" s="5">
        <f>DATEDIF(E25,설정!$B$2,"y")</f>
        <v/>
      </c>
      <c r="G25" s="5">
        <f>DATEDIF(E25,설정!$B$2,"m")</f>
        <v/>
      </c>
      <c r="H25" s="5">
        <f>_xlfn.XLOOKUP(G25,연가기준표!$A$2:$A$9,연가기준표!$B$2:$B$9,0,-1)</f>
        <v/>
      </c>
      <c r="I25" s="5" t="n">
        <v>17</v>
      </c>
      <c r="J25" s="5">
        <f>H25-I25</f>
        <v/>
      </c>
      <c r="K25" s="7">
        <f>IFERROR(I25/H25,0)</f>
        <v/>
      </c>
      <c r="L25" s="5">
        <f>IF(J25=0,"소진",IF(J25&gt;=10,"사용 안내","") )</f>
        <v/>
      </c>
    </row>
    <row r="26">
      <c r="A26" s="5" t="inlineStr">
        <is>
          <t>G025</t>
        </is>
      </c>
      <c r="B26" s="5" t="inlineStr">
        <is>
          <t>홍지호</t>
        </is>
      </c>
      <c r="C26" s="5" t="inlineStr">
        <is>
          <t>D01</t>
        </is>
      </c>
      <c r="D26" s="5" t="inlineStr">
        <is>
          <t>9급</t>
        </is>
      </c>
      <c r="E26" s="6" t="n">
        <v>44203</v>
      </c>
      <c r="F26" s="5">
        <f>DATEDIF(E26,설정!$B$2,"y")</f>
        <v/>
      </c>
      <c r="G26" s="5">
        <f>DATEDIF(E26,설정!$B$2,"m")</f>
        <v/>
      </c>
      <c r="H26" s="5">
        <f>_xlfn.XLOOKUP(G26,연가기준표!$A$2:$A$9,연가기준표!$B$2:$B$9,0,-1)</f>
        <v/>
      </c>
      <c r="I26" s="5" t="n">
        <v>0</v>
      </c>
      <c r="J26" s="5">
        <f>H26-I26</f>
        <v/>
      </c>
      <c r="K26" s="7">
        <f>IFERROR(I26/H26,0)</f>
        <v/>
      </c>
      <c r="L26" s="5">
        <f>IF(J26=0,"소진",IF(J26&gt;=10,"사용 안내","") )</f>
        <v/>
      </c>
    </row>
    <row r="27">
      <c r="A27" s="5" t="inlineStr">
        <is>
          <t>G026</t>
        </is>
      </c>
      <c r="B27" s="5" t="inlineStr">
        <is>
          <t>권서연</t>
        </is>
      </c>
      <c r="C27" s="5" t="inlineStr">
        <is>
          <t>D02</t>
        </is>
      </c>
      <c r="D27" s="5" t="inlineStr">
        <is>
          <t>7급</t>
        </is>
      </c>
      <c r="E27" s="6" t="n">
        <v>42381</v>
      </c>
      <c r="F27" s="5">
        <f>DATEDIF(E27,설정!$B$2,"y")</f>
        <v/>
      </c>
      <c r="G27" s="5">
        <f>DATEDIF(E27,설정!$B$2,"m")</f>
        <v/>
      </c>
      <c r="H27" s="5">
        <f>_xlfn.XLOOKUP(G27,연가기준표!$A$2:$A$9,연가기준표!$B$2:$B$9,0,-1)</f>
        <v/>
      </c>
      <c r="I27" s="5" t="n">
        <v>3</v>
      </c>
      <c r="J27" s="5">
        <f>H27-I27</f>
        <v/>
      </c>
      <c r="K27" s="7">
        <f>IFERROR(I27/H27,0)</f>
        <v/>
      </c>
      <c r="L27" s="5">
        <f>IF(J27=0,"소진",IF(J27&gt;=10,"사용 안내","") )</f>
        <v/>
      </c>
    </row>
    <row r="28">
      <c r="A28" s="5" t="inlineStr">
        <is>
          <t>G027</t>
        </is>
      </c>
      <c r="B28" s="5" t="inlineStr">
        <is>
          <t>황시우</t>
        </is>
      </c>
      <c r="C28" s="5" t="inlineStr">
        <is>
          <t>D03</t>
        </is>
      </c>
      <c r="D28" s="5" t="inlineStr">
        <is>
          <t>6급</t>
        </is>
      </c>
      <c r="E28" s="6" t="n">
        <v>43360</v>
      </c>
      <c r="F28" s="5">
        <f>DATEDIF(E28,설정!$B$2,"y")</f>
        <v/>
      </c>
      <c r="G28" s="5">
        <f>DATEDIF(E28,설정!$B$2,"m")</f>
        <v/>
      </c>
      <c r="H28" s="5">
        <f>_xlfn.XLOOKUP(G28,연가기준표!$A$2:$A$9,연가기준표!$B$2:$B$9,0,-1)</f>
        <v/>
      </c>
      <c r="I28" s="5" t="n">
        <v>10</v>
      </c>
      <c r="J28" s="5">
        <f>H28-I28</f>
        <v/>
      </c>
      <c r="K28" s="7">
        <f>IFERROR(I28/H28,0)</f>
        <v/>
      </c>
      <c r="L28" s="5">
        <f>IF(J28=0,"소진",IF(J28&gt;=10,"사용 안내","") )</f>
        <v/>
      </c>
    </row>
    <row r="29">
      <c r="A29" s="5" t="inlineStr">
        <is>
          <t>G028</t>
        </is>
      </c>
      <c r="B29" s="5" t="inlineStr">
        <is>
          <t>서미래</t>
        </is>
      </c>
      <c r="C29" s="5" t="inlineStr">
        <is>
          <t>D04</t>
        </is>
      </c>
      <c r="D29" s="5" t="inlineStr">
        <is>
          <t>7급</t>
        </is>
      </c>
      <c r="E29" s="6" t="n">
        <v>45702</v>
      </c>
      <c r="F29" s="5">
        <f>DATEDIF(E29,설정!$B$2,"y")</f>
        <v/>
      </c>
      <c r="G29" s="5">
        <f>DATEDIF(E29,설정!$B$2,"m")</f>
        <v/>
      </c>
      <c r="H29" s="5">
        <f>_xlfn.XLOOKUP(G29,연가기준표!$A$2:$A$9,연가기준표!$B$2:$B$9,0,-1)</f>
        <v/>
      </c>
      <c r="I29" s="5" t="n">
        <v>2</v>
      </c>
      <c r="J29" s="5">
        <f>H29-I29</f>
        <v/>
      </c>
      <c r="K29" s="7">
        <f>IFERROR(I29/H29,0)</f>
        <v/>
      </c>
      <c r="L29" s="5">
        <f>IF(J29=0,"소진",IF(J29&gt;=10,"사용 안내","") )</f>
        <v/>
      </c>
    </row>
    <row r="30">
      <c r="A30" s="5" t="inlineStr">
        <is>
          <t>G029</t>
        </is>
      </c>
      <c r="B30" s="5" t="inlineStr">
        <is>
          <t>윤채원</t>
        </is>
      </c>
      <c r="C30" s="5" t="inlineStr">
        <is>
          <t>D05</t>
        </is>
      </c>
      <c r="D30" s="5" t="inlineStr">
        <is>
          <t>5급</t>
        </is>
      </c>
      <c r="E30" s="6" t="n">
        <v>41042</v>
      </c>
      <c r="F30" s="5">
        <f>DATEDIF(E30,설정!$B$2,"y")</f>
        <v/>
      </c>
      <c r="G30" s="5">
        <f>DATEDIF(E30,설정!$B$2,"m")</f>
        <v/>
      </c>
      <c r="H30" s="5">
        <f>_xlfn.XLOOKUP(G30,연가기준표!$A$2:$A$9,연가기준표!$B$2:$B$9,0,-1)</f>
        <v/>
      </c>
      <c r="I30" s="5" t="n">
        <v>6</v>
      </c>
      <c r="J30" s="5">
        <f>H30-I30</f>
        <v/>
      </c>
      <c r="K30" s="7">
        <f>IFERROR(I30/H30,0)</f>
        <v/>
      </c>
      <c r="L30" s="5">
        <f>IF(J30=0,"소진",IF(J30&gt;=10,"사용 안내","") )</f>
        <v/>
      </c>
    </row>
    <row r="31">
      <c r="A31" s="5" t="inlineStr">
        <is>
          <t>G030</t>
        </is>
      </c>
      <c r="B31" s="5" t="inlineStr">
        <is>
          <t>윤주원</t>
        </is>
      </c>
      <c r="C31" s="5" t="inlineStr">
        <is>
          <t>D06</t>
        </is>
      </c>
      <c r="D31" s="5" t="inlineStr">
        <is>
          <t>5급</t>
        </is>
      </c>
      <c r="E31" s="6" t="n">
        <v>40238</v>
      </c>
      <c r="F31" s="5">
        <f>DATEDIF(E31,설정!$B$2,"y")</f>
        <v/>
      </c>
      <c r="G31" s="5">
        <f>DATEDIF(E31,설정!$B$2,"m")</f>
        <v/>
      </c>
      <c r="H31" s="5">
        <f>_xlfn.XLOOKUP(G31,연가기준표!$A$2:$A$9,연가기준표!$B$2:$B$9,0,-1)</f>
        <v/>
      </c>
      <c r="I31" s="5" t="n">
        <v>3</v>
      </c>
      <c r="J31" s="5">
        <f>H31-I31</f>
        <v/>
      </c>
      <c r="K31" s="7">
        <f>IFERROR(I31/H31,0)</f>
        <v/>
      </c>
      <c r="L31" s="5">
        <f>IF(J31=0,"소진",IF(J31&gt;=10,"사용 안내","") )</f>
        <v/>
      </c>
    </row>
    <row r="32">
      <c r="A32" s="5" t="inlineStr">
        <is>
          <t>G031</t>
        </is>
      </c>
      <c r="B32" s="5" t="inlineStr">
        <is>
          <t>임민준</t>
        </is>
      </c>
      <c r="C32" s="5" t="inlineStr">
        <is>
          <t>D07</t>
        </is>
      </c>
      <c r="D32" s="5" t="inlineStr">
        <is>
          <t>6급</t>
        </is>
      </c>
      <c r="E32" s="6" t="n">
        <v>40206</v>
      </c>
      <c r="F32" s="5">
        <f>DATEDIF(E32,설정!$B$2,"y")</f>
        <v/>
      </c>
      <c r="G32" s="5">
        <f>DATEDIF(E32,설정!$B$2,"m")</f>
        <v/>
      </c>
      <c r="H32" s="5">
        <f>_xlfn.XLOOKUP(G32,연가기준표!$A$2:$A$9,연가기준표!$B$2:$B$9,0,-1)</f>
        <v/>
      </c>
      <c r="I32" s="5" t="n">
        <v>12</v>
      </c>
      <c r="J32" s="5">
        <f>H32-I32</f>
        <v/>
      </c>
      <c r="K32" s="7">
        <f>IFERROR(I32/H32,0)</f>
        <v/>
      </c>
      <c r="L32" s="5">
        <f>IF(J32=0,"소진",IF(J32&gt;=10,"사용 안내","") )</f>
        <v/>
      </c>
    </row>
    <row r="33">
      <c r="A33" s="5" t="inlineStr">
        <is>
          <t>G032</t>
        </is>
      </c>
      <c r="B33" s="5" t="inlineStr">
        <is>
          <t>조성민</t>
        </is>
      </c>
      <c r="C33" s="5" t="inlineStr">
        <is>
          <t>D08</t>
        </is>
      </c>
      <c r="D33" s="5" t="inlineStr">
        <is>
          <t>7급</t>
        </is>
      </c>
      <c r="E33" s="6" t="n">
        <v>40188</v>
      </c>
      <c r="F33" s="5">
        <f>DATEDIF(E33,설정!$B$2,"y")</f>
        <v/>
      </c>
      <c r="G33" s="5">
        <f>DATEDIF(E33,설정!$B$2,"m")</f>
        <v/>
      </c>
      <c r="H33" s="5">
        <f>_xlfn.XLOOKUP(G33,연가기준표!$A$2:$A$9,연가기준표!$B$2:$B$9,0,-1)</f>
        <v/>
      </c>
      <c r="I33" s="5" t="n">
        <v>2</v>
      </c>
      <c r="J33" s="5">
        <f>H33-I33</f>
        <v/>
      </c>
      <c r="K33" s="7">
        <f>IFERROR(I33/H33,0)</f>
        <v/>
      </c>
      <c r="L33" s="5">
        <f>IF(J33=0,"소진",IF(J33&gt;=10,"사용 안내","") )</f>
        <v/>
      </c>
    </row>
    <row r="34">
      <c r="A34" s="5" t="inlineStr">
        <is>
          <t>G033</t>
        </is>
      </c>
      <c r="B34" s="5" t="inlineStr">
        <is>
          <t>최건우</t>
        </is>
      </c>
      <c r="C34" s="5" t="inlineStr">
        <is>
          <t>D01</t>
        </is>
      </c>
      <c r="D34" s="5" t="inlineStr">
        <is>
          <t>7급</t>
        </is>
      </c>
      <c r="E34" s="6" t="n">
        <v>41106</v>
      </c>
      <c r="F34" s="5">
        <f>DATEDIF(E34,설정!$B$2,"y")</f>
        <v/>
      </c>
      <c r="G34" s="5">
        <f>DATEDIF(E34,설정!$B$2,"m")</f>
        <v/>
      </c>
      <c r="H34" s="5">
        <f>_xlfn.XLOOKUP(G34,연가기준표!$A$2:$A$9,연가기준표!$B$2:$B$9,0,-1)</f>
        <v/>
      </c>
      <c r="I34" s="5" t="n">
        <v>1</v>
      </c>
      <c r="J34" s="5">
        <f>H34-I34</f>
        <v/>
      </c>
      <c r="K34" s="7">
        <f>IFERROR(I34/H34,0)</f>
        <v/>
      </c>
      <c r="L34" s="5">
        <f>IF(J34=0,"소진",IF(J34&gt;=10,"사용 안내","") )</f>
        <v/>
      </c>
    </row>
    <row r="35">
      <c r="A35" s="5" t="inlineStr">
        <is>
          <t>G034</t>
        </is>
      </c>
      <c r="B35" s="5" t="inlineStr">
        <is>
          <t>이도윤</t>
        </is>
      </c>
      <c r="C35" s="5" t="inlineStr">
        <is>
          <t>D02</t>
        </is>
      </c>
      <c r="D35" s="5" t="inlineStr">
        <is>
          <t>9급</t>
        </is>
      </c>
      <c r="E35" s="6" t="n">
        <v>41920</v>
      </c>
      <c r="F35" s="5">
        <f>DATEDIF(E35,설정!$B$2,"y")</f>
        <v/>
      </c>
      <c r="G35" s="5">
        <f>DATEDIF(E35,설정!$B$2,"m")</f>
        <v/>
      </c>
      <c r="H35" s="5">
        <f>_xlfn.XLOOKUP(G35,연가기준표!$A$2:$A$9,연가기준표!$B$2:$B$9,0,-1)</f>
        <v/>
      </c>
      <c r="I35" s="5" t="n">
        <v>6</v>
      </c>
      <c r="J35" s="5">
        <f>H35-I35</f>
        <v/>
      </c>
      <c r="K35" s="7">
        <f>IFERROR(I35/H35,0)</f>
        <v/>
      </c>
      <c r="L35" s="5">
        <f>IF(J35=0,"소진",IF(J35&gt;=10,"사용 안내","") )</f>
        <v/>
      </c>
    </row>
    <row r="36">
      <c r="A36" s="5" t="inlineStr">
        <is>
          <t>G035</t>
        </is>
      </c>
      <c r="B36" s="5" t="inlineStr">
        <is>
          <t>이주원</t>
        </is>
      </c>
      <c r="C36" s="5" t="inlineStr">
        <is>
          <t>D03</t>
        </is>
      </c>
      <c r="D36" s="5" t="inlineStr">
        <is>
          <t>8급</t>
        </is>
      </c>
      <c r="E36" s="6" t="n">
        <v>41835</v>
      </c>
      <c r="F36" s="5">
        <f>DATEDIF(E36,설정!$B$2,"y")</f>
        <v/>
      </c>
      <c r="G36" s="5">
        <f>DATEDIF(E36,설정!$B$2,"m")</f>
        <v/>
      </c>
      <c r="H36" s="5">
        <f>_xlfn.XLOOKUP(G36,연가기준표!$A$2:$A$9,연가기준표!$B$2:$B$9,0,-1)</f>
        <v/>
      </c>
      <c r="I36" s="5" t="n">
        <v>20</v>
      </c>
      <c r="J36" s="5">
        <f>H36-I36</f>
        <v/>
      </c>
      <c r="K36" s="7">
        <f>IFERROR(I36/H36,0)</f>
        <v/>
      </c>
      <c r="L36" s="5">
        <f>IF(J36=0,"소진",IF(J36&gt;=10,"사용 안내","") )</f>
        <v/>
      </c>
    </row>
    <row r="37">
      <c r="A37" s="5" t="inlineStr">
        <is>
          <t>G036</t>
        </is>
      </c>
      <c r="B37" s="5" t="inlineStr">
        <is>
          <t>홍미래</t>
        </is>
      </c>
      <c r="C37" s="5" t="inlineStr">
        <is>
          <t>D04</t>
        </is>
      </c>
      <c r="D37" s="5" t="inlineStr">
        <is>
          <t>8급</t>
        </is>
      </c>
      <c r="E37" s="6" t="n">
        <v>46106</v>
      </c>
      <c r="F37" s="5">
        <f>DATEDIF(E37,설정!$B$2,"y")</f>
        <v/>
      </c>
      <c r="G37" s="5">
        <f>DATEDIF(E37,설정!$B$2,"m")</f>
        <v/>
      </c>
      <c r="H37" s="5">
        <f>_xlfn.XLOOKUP(G37,연가기준표!$A$2:$A$9,연가기준표!$B$2:$B$9,0,-1)</f>
        <v/>
      </c>
      <c r="I37" s="5" t="n">
        <v>0</v>
      </c>
      <c r="J37" s="5">
        <f>H37-I37</f>
        <v/>
      </c>
      <c r="K37" s="7">
        <f>IFERROR(I37/H37,0)</f>
        <v/>
      </c>
      <c r="L37" s="5">
        <f>IF(J37=0,"소진",IF(J37&gt;=10,"사용 안내","") )</f>
        <v/>
      </c>
    </row>
    <row r="38">
      <c r="A38" s="5" t="inlineStr">
        <is>
          <t>G037</t>
        </is>
      </c>
      <c r="B38" s="5" t="inlineStr">
        <is>
          <t>황나연</t>
        </is>
      </c>
      <c r="C38" s="5" t="inlineStr">
        <is>
          <t>D05</t>
        </is>
      </c>
      <c r="D38" s="5" t="inlineStr">
        <is>
          <t>8급</t>
        </is>
      </c>
      <c r="E38" s="6" t="n">
        <v>44224</v>
      </c>
      <c r="F38" s="5">
        <f>DATEDIF(E38,설정!$B$2,"y")</f>
        <v/>
      </c>
      <c r="G38" s="5">
        <f>DATEDIF(E38,설정!$B$2,"m")</f>
        <v/>
      </c>
      <c r="H38" s="5">
        <f>_xlfn.XLOOKUP(G38,연가기준표!$A$2:$A$9,연가기준표!$B$2:$B$9,0,-1)</f>
        <v/>
      </c>
      <c r="I38" s="5" t="n">
        <v>4</v>
      </c>
      <c r="J38" s="5">
        <f>H38-I38</f>
        <v/>
      </c>
      <c r="K38" s="7">
        <f>IFERROR(I38/H38,0)</f>
        <v/>
      </c>
      <c r="L38" s="5">
        <f>IF(J38=0,"소진",IF(J38&gt;=10,"사용 안내","") )</f>
        <v/>
      </c>
    </row>
    <row r="39">
      <c r="A39" s="5" t="inlineStr">
        <is>
          <t>G038</t>
        </is>
      </c>
      <c r="B39" s="5" t="inlineStr">
        <is>
          <t>강예준</t>
        </is>
      </c>
      <c r="C39" s="5" t="inlineStr">
        <is>
          <t>D06</t>
        </is>
      </c>
      <c r="D39" s="5" t="inlineStr">
        <is>
          <t>8급</t>
        </is>
      </c>
      <c r="E39" s="6" t="n">
        <v>45280</v>
      </c>
      <c r="F39" s="5">
        <f>DATEDIF(E39,설정!$B$2,"y")</f>
        <v/>
      </c>
      <c r="G39" s="5">
        <f>DATEDIF(E39,설정!$B$2,"m")</f>
        <v/>
      </c>
      <c r="H39" s="5">
        <f>_xlfn.XLOOKUP(G39,연가기준표!$A$2:$A$9,연가기준표!$B$2:$B$9,0,-1)</f>
        <v/>
      </c>
      <c r="I39" s="5" t="n">
        <v>2</v>
      </c>
      <c r="J39" s="5">
        <f>H39-I39</f>
        <v/>
      </c>
      <c r="K39" s="7">
        <f>IFERROR(I39/H39,0)</f>
        <v/>
      </c>
      <c r="L39" s="5">
        <f>IF(J39=0,"소진",IF(J39&gt;=10,"사용 안내","") )</f>
        <v/>
      </c>
    </row>
    <row r="40">
      <c r="A40" s="5" t="inlineStr">
        <is>
          <t>G039</t>
        </is>
      </c>
      <c r="B40" s="5" t="inlineStr">
        <is>
          <t>조예준</t>
        </is>
      </c>
      <c r="C40" s="5" t="inlineStr">
        <is>
          <t>D07</t>
        </is>
      </c>
      <c r="D40" s="5" t="inlineStr">
        <is>
          <t>7급</t>
        </is>
      </c>
      <c r="E40" s="6" t="n">
        <v>44616</v>
      </c>
      <c r="F40" s="5">
        <f>DATEDIF(E40,설정!$B$2,"y")</f>
        <v/>
      </c>
      <c r="G40" s="5">
        <f>DATEDIF(E40,설정!$B$2,"m")</f>
        <v/>
      </c>
      <c r="H40" s="5">
        <f>_xlfn.XLOOKUP(G40,연가기준표!$A$2:$A$9,연가기준표!$B$2:$B$9,0,-1)</f>
        <v/>
      </c>
      <c r="I40" s="5" t="n">
        <v>5</v>
      </c>
      <c r="J40" s="5">
        <f>H40-I40</f>
        <v/>
      </c>
      <c r="K40" s="7">
        <f>IFERROR(I40/H40,0)</f>
        <v/>
      </c>
      <c r="L40" s="5">
        <f>IF(J40=0,"소진",IF(J40&gt;=10,"사용 안내","") )</f>
        <v/>
      </c>
    </row>
    <row r="41">
      <c r="A41" s="5" t="inlineStr">
        <is>
          <t>G040</t>
        </is>
      </c>
      <c r="B41" s="5" t="inlineStr">
        <is>
          <t>최주원</t>
        </is>
      </c>
      <c r="C41" s="5" t="inlineStr">
        <is>
          <t>D08</t>
        </is>
      </c>
      <c r="D41" s="5" t="inlineStr">
        <is>
          <t>7급</t>
        </is>
      </c>
      <c r="E41" s="6" t="n">
        <v>41873</v>
      </c>
      <c r="F41" s="5">
        <f>DATEDIF(E41,설정!$B$2,"y")</f>
        <v/>
      </c>
      <c r="G41" s="5">
        <f>DATEDIF(E41,설정!$B$2,"m")</f>
        <v/>
      </c>
      <c r="H41" s="5">
        <f>_xlfn.XLOOKUP(G41,연가기준표!$A$2:$A$9,연가기준표!$B$2:$B$9,0,-1)</f>
        <v/>
      </c>
      <c r="I41" s="5" t="n">
        <v>0</v>
      </c>
      <c r="J41" s="5">
        <f>H41-I41</f>
        <v/>
      </c>
      <c r="K41" s="7">
        <f>IFERROR(I41/H41,0)</f>
        <v/>
      </c>
      <c r="L41" s="5">
        <f>IF(J41=0,"소진",IF(J41&gt;=10,"사용 안내","") 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4" t="inlineStr">
        <is>
          <t>근속개월(이상)</t>
        </is>
      </c>
      <c r="B1" s="4" t="inlineStr">
        <is>
          <t>연가일수</t>
        </is>
      </c>
      <c r="D1" s="8" t="inlineStr">
        <is>
          <t>※ 수업용 가상 기준표입니다. 실제 연가 일수는 소속 기관의 복무 규정을 반드시 확인하세요.</t>
        </is>
      </c>
    </row>
    <row r="2">
      <c r="A2" s="5" t="n">
        <v>0</v>
      </c>
      <c r="B2" s="5" t="n">
        <v>3</v>
      </c>
    </row>
    <row r="3">
      <c r="A3" s="5" t="n">
        <v>6</v>
      </c>
      <c r="B3" s="5" t="n">
        <v>4</v>
      </c>
    </row>
    <row r="4">
      <c r="A4" s="5" t="n">
        <v>12</v>
      </c>
      <c r="B4" s="5" t="n">
        <v>6</v>
      </c>
    </row>
    <row r="5">
      <c r="A5" s="5" t="n">
        <v>24</v>
      </c>
      <c r="B5" s="5" t="n">
        <v>9</v>
      </c>
    </row>
    <row r="6">
      <c r="A6" s="5" t="n">
        <v>36</v>
      </c>
      <c r="B6" s="5" t="n">
        <v>12</v>
      </c>
    </row>
    <row r="7">
      <c r="A7" s="5" t="n">
        <v>48</v>
      </c>
      <c r="B7" s="5" t="n">
        <v>14</v>
      </c>
    </row>
    <row r="8">
      <c r="A8" s="5" t="n">
        <v>60</v>
      </c>
      <c r="B8" s="5" t="n">
        <v>17</v>
      </c>
    </row>
    <row r="9">
      <c r="A9" s="5" t="n">
        <v>72</v>
      </c>
      <c r="B9" s="5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4" t="inlineStr">
        <is>
          <t>부서코드</t>
        </is>
      </c>
      <c r="B1" s="4" t="inlineStr">
        <is>
          <t>부서명</t>
        </is>
      </c>
    </row>
    <row r="2">
      <c r="A2" s="5" t="inlineStr">
        <is>
          <t>D01</t>
        </is>
      </c>
      <c r="B2" s="5" t="inlineStr">
        <is>
          <t>도로과</t>
        </is>
      </c>
    </row>
    <row r="3">
      <c r="A3" s="5" t="inlineStr">
        <is>
          <t>D02</t>
        </is>
      </c>
      <c r="B3" s="5" t="inlineStr">
        <is>
          <t>환경위생과</t>
        </is>
      </c>
    </row>
    <row r="4">
      <c r="A4" s="5" t="inlineStr">
        <is>
          <t>D03</t>
        </is>
      </c>
      <c r="B4" s="5" t="inlineStr">
        <is>
          <t>복지정책과</t>
        </is>
      </c>
    </row>
    <row r="5">
      <c r="A5" s="5" t="inlineStr">
        <is>
          <t>D04</t>
        </is>
      </c>
      <c r="B5" s="5" t="inlineStr">
        <is>
          <t>건축과</t>
        </is>
      </c>
    </row>
    <row r="6">
      <c r="A6" s="5" t="inlineStr">
        <is>
          <t>D05</t>
        </is>
      </c>
      <c r="B6" s="5" t="inlineStr">
        <is>
          <t>교통행정과</t>
        </is>
      </c>
    </row>
    <row r="7">
      <c r="A7" s="5" t="inlineStr">
        <is>
          <t>D06</t>
        </is>
      </c>
      <c r="B7" s="5" t="inlineStr">
        <is>
          <t>민원봉사과</t>
        </is>
      </c>
    </row>
    <row r="8">
      <c r="A8" s="5" t="inlineStr">
        <is>
          <t>D07</t>
        </is>
      </c>
      <c r="B8" s="5" t="inlineStr">
        <is>
          <t>기획예산과</t>
        </is>
      </c>
    </row>
    <row r="9">
      <c r="A9" s="5" t="inlineStr">
        <is>
          <t>D08</t>
        </is>
      </c>
      <c r="B9" s="5" t="inlineStr">
        <is>
          <t>문화체육과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4" t="inlineStr">
        <is>
          <t>항목</t>
        </is>
      </c>
      <c r="B1" s="4" t="inlineStr">
        <is>
          <t>값</t>
        </is>
      </c>
    </row>
    <row r="2">
      <c r="A2" t="inlineStr">
        <is>
          <t>기준일</t>
        </is>
      </c>
      <c r="B2" s="9" t="n">
        <v>46326</v>
      </c>
    </row>
    <row r="3">
      <c r="A3" t="inlineStr">
        <is>
          <t>안내</t>
        </is>
      </c>
      <c r="B3" t="inlineStr">
        <is>
          <t>수업 당일에는 B2를 =TODAY() 로 바꿔 보세요. 결과가 달라지는 이유를 AI에게 설명시켜 봅니다.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8" customWidth="1" min="4" max="4"/>
    <col width="8" customWidth="1" min="5" max="5"/>
    <col width="20" customWidth="1" min="6" max="6"/>
    <col width="15" customWidth="1" min="7" max="7"/>
  </cols>
  <sheetData>
    <row r="1">
      <c r="A1" s="4" t="inlineStr">
        <is>
          <t>일자</t>
        </is>
      </c>
      <c r="B1" s="4" t="inlineStr">
        <is>
          <t>사번</t>
        </is>
      </c>
      <c r="C1" s="4" t="inlineStr">
        <is>
          <t>이름</t>
        </is>
      </c>
      <c r="D1" s="4" t="inlineStr">
        <is>
          <t>출근</t>
        </is>
      </c>
      <c r="E1" s="4" t="inlineStr">
        <is>
          <t>퇴근</t>
        </is>
      </c>
      <c r="F1" s="4" t="inlineStr">
        <is>
          <t>근무시간(점심 1h 제외)</t>
        </is>
      </c>
      <c r="G1" s="4" t="inlineStr">
        <is>
          <t>시간외(8h 초과)</t>
        </is>
      </c>
    </row>
    <row r="2">
      <c r="A2" s="6" t="n">
        <v>46300</v>
      </c>
      <c r="B2" s="5" t="inlineStr">
        <is>
          <t>G001</t>
        </is>
      </c>
      <c r="C2" s="5">
        <f>_xlfn.XLOOKUP(B2,직원!$A$2:$A$41,직원!$B$2:$B$41,"미등록")</f>
        <v/>
      </c>
      <c r="D2" s="10" t="n">
        <v>0.3611111111111111</v>
      </c>
      <c r="E2" s="10" t="n">
        <v>0.7708333333333334</v>
      </c>
      <c r="F2" s="5">
        <f>ROUND((E2-D2+(E2&lt;D2))*24-1,2)</f>
        <v/>
      </c>
      <c r="G2" s="5">
        <f>MAX(0,F2-8)</f>
        <v/>
      </c>
    </row>
    <row r="3">
      <c r="A3" s="6" t="n">
        <v>46302</v>
      </c>
      <c r="B3" s="5" t="inlineStr">
        <is>
          <t>G001</t>
        </is>
      </c>
      <c r="C3" s="5">
        <f>_xlfn.XLOOKUP(B3,직원!$A$2:$A$41,직원!$B$2:$B$41,"미등록")</f>
        <v/>
      </c>
      <c r="D3" s="10" t="n">
        <v>0.3680555555555556</v>
      </c>
      <c r="E3" s="10" t="n">
        <v>0.7569444444444444</v>
      </c>
      <c r="F3" s="5">
        <f>ROUND((E3-D3+(E3&lt;D3))*24-1,2)</f>
        <v/>
      </c>
      <c r="G3" s="5">
        <f>MAX(0,F3-8)</f>
        <v/>
      </c>
    </row>
    <row r="4">
      <c r="A4" s="6" t="n">
        <v>46304</v>
      </c>
      <c r="B4" s="5" t="inlineStr">
        <is>
          <t>G001</t>
        </is>
      </c>
      <c r="C4" s="5">
        <f>_xlfn.XLOOKUP(B4,직원!$A$2:$A$41,직원!$B$2:$B$41,"미등록")</f>
        <v/>
      </c>
      <c r="D4" s="10" t="n">
        <v>0.3680555555555556</v>
      </c>
      <c r="E4" s="10" t="n">
        <v>0.9166666666666666</v>
      </c>
      <c r="F4" s="5">
        <f>ROUND((E4-D4+(E4&lt;D4))*24-1,2)</f>
        <v/>
      </c>
      <c r="G4" s="5">
        <f>MAX(0,F4-8)</f>
        <v/>
      </c>
    </row>
    <row r="5">
      <c r="A5" s="6" t="n">
        <v>46307</v>
      </c>
      <c r="B5" s="5" t="inlineStr">
        <is>
          <t>G001</t>
        </is>
      </c>
      <c r="C5" s="5">
        <f>_xlfn.XLOOKUP(B5,직원!$A$2:$A$41,직원!$B$2:$B$41,"미등록")</f>
        <v/>
      </c>
      <c r="D5" s="10" t="n">
        <v>0.3611111111111111</v>
      </c>
      <c r="E5" s="10" t="n">
        <v>0.875</v>
      </c>
      <c r="F5" s="5">
        <f>ROUND((E5-D5+(E5&lt;D5))*24-1,2)</f>
        <v/>
      </c>
      <c r="G5" s="5">
        <f>MAX(0,F5-8)</f>
        <v/>
      </c>
    </row>
    <row r="6">
      <c r="A6" s="6" t="n">
        <v>46309</v>
      </c>
      <c r="B6" s="5" t="inlineStr">
        <is>
          <t>G001</t>
        </is>
      </c>
      <c r="C6" s="5">
        <f>_xlfn.XLOOKUP(B6,직원!$A$2:$A$41,직원!$B$2:$B$41,"미등록")</f>
        <v/>
      </c>
      <c r="D6" s="10" t="n">
        <v>0.3680555555555556</v>
      </c>
      <c r="E6" s="10" t="n">
        <v>0.9027777777777778</v>
      </c>
      <c r="F6" s="5">
        <f>ROUND((E6-D6+(E6&lt;D6))*24-1,2)</f>
        <v/>
      </c>
      <c r="G6" s="5">
        <f>MAX(0,F6-8)</f>
        <v/>
      </c>
    </row>
    <row r="7">
      <c r="A7" s="6" t="n">
        <v>46311</v>
      </c>
      <c r="B7" s="5" t="inlineStr">
        <is>
          <t>G001</t>
        </is>
      </c>
      <c r="C7" s="5">
        <f>_xlfn.XLOOKUP(B7,직원!$A$2:$A$41,직원!$B$2:$B$41,"미등록")</f>
        <v/>
      </c>
      <c r="D7" s="10" t="n">
        <v>0.3611111111111111</v>
      </c>
      <c r="E7" s="10" t="n">
        <v>0.8541666666666666</v>
      </c>
      <c r="F7" s="5">
        <f>ROUND((E7-D7+(E7&lt;D7))*24-1,2)</f>
        <v/>
      </c>
      <c r="G7" s="5">
        <f>MAX(0,F7-8)</f>
        <v/>
      </c>
    </row>
    <row r="8">
      <c r="A8" s="6" t="n">
        <v>46300</v>
      </c>
      <c r="B8" s="5" t="inlineStr">
        <is>
          <t>G002</t>
        </is>
      </c>
      <c r="C8" s="5">
        <f>_xlfn.XLOOKUP(B8,직원!$A$2:$A$41,직원!$B$2:$B$41,"미등록")</f>
        <v/>
      </c>
      <c r="D8" s="10" t="n">
        <v>0.3680555555555556</v>
      </c>
      <c r="E8" s="10" t="n">
        <v>0.8333333333333334</v>
      </c>
      <c r="F8" s="5">
        <f>ROUND((E8-D8+(E8&lt;D8))*24-1,2)</f>
        <v/>
      </c>
      <c r="G8" s="5">
        <f>MAX(0,F8-8)</f>
        <v/>
      </c>
    </row>
    <row r="9">
      <c r="A9" s="6" t="n">
        <v>46302</v>
      </c>
      <c r="B9" s="5" t="inlineStr">
        <is>
          <t>G002</t>
        </is>
      </c>
      <c r="C9" s="5">
        <f>_xlfn.XLOOKUP(B9,직원!$A$2:$A$41,직원!$B$2:$B$41,"미등록")</f>
        <v/>
      </c>
      <c r="D9" s="10" t="n">
        <v>0.3611111111111111</v>
      </c>
      <c r="E9" s="10" t="n">
        <v>0.8819444444444444</v>
      </c>
      <c r="F9" s="5">
        <f>ROUND((E9-D9+(E9&lt;D9))*24-1,2)</f>
        <v/>
      </c>
      <c r="G9" s="5">
        <f>MAX(0,F9-8)</f>
        <v/>
      </c>
    </row>
    <row r="10">
      <c r="A10" s="6" t="n">
        <v>46304</v>
      </c>
      <c r="B10" s="5" t="inlineStr">
        <is>
          <t>G002</t>
        </is>
      </c>
      <c r="C10" s="5">
        <f>_xlfn.XLOOKUP(B10,직원!$A$2:$A$41,직원!$B$2:$B$41,"미등록")</f>
        <v/>
      </c>
      <c r="D10" s="10" t="n">
        <v>0.3611111111111111</v>
      </c>
      <c r="E10" s="10" t="n">
        <v>0.7777777777777778</v>
      </c>
      <c r="F10" s="5">
        <f>ROUND((E10-D10+(E10&lt;D10))*24-1,2)</f>
        <v/>
      </c>
      <c r="G10" s="5">
        <f>MAX(0,F10-8)</f>
        <v/>
      </c>
    </row>
    <row r="11">
      <c r="A11" s="6" t="n">
        <v>46307</v>
      </c>
      <c r="B11" s="5" t="inlineStr">
        <is>
          <t>G002</t>
        </is>
      </c>
      <c r="C11" s="5">
        <f>_xlfn.XLOOKUP(B11,직원!$A$2:$A$41,직원!$B$2:$B$41,"미등록")</f>
        <v/>
      </c>
      <c r="D11" s="10" t="n">
        <v>0.3611111111111111</v>
      </c>
      <c r="E11" s="10" t="n">
        <v>0.8819444444444444</v>
      </c>
      <c r="F11" s="5">
        <f>ROUND((E11-D11+(E11&lt;D11))*24-1,2)</f>
        <v/>
      </c>
      <c r="G11" s="5">
        <f>MAX(0,F11-8)</f>
        <v/>
      </c>
    </row>
    <row r="12">
      <c r="A12" s="6" t="n">
        <v>46309</v>
      </c>
      <c r="B12" s="5" t="inlineStr">
        <is>
          <t>G002</t>
        </is>
      </c>
      <c r="C12" s="5">
        <f>_xlfn.XLOOKUP(B12,직원!$A$2:$A$41,직원!$B$2:$B$41,"미등록")</f>
        <v/>
      </c>
      <c r="D12" s="10" t="n">
        <v>0.3611111111111111</v>
      </c>
      <c r="E12" s="10" t="n">
        <v>0.9444444444444444</v>
      </c>
      <c r="F12" s="5">
        <f>ROUND((E12-D12+(E12&lt;D12))*24-1,2)</f>
        <v/>
      </c>
      <c r="G12" s="5">
        <f>MAX(0,F12-8)</f>
        <v/>
      </c>
    </row>
    <row r="13">
      <c r="A13" s="6" t="n">
        <v>46311</v>
      </c>
      <c r="B13" s="5" t="inlineStr">
        <is>
          <t>G002</t>
        </is>
      </c>
      <c r="C13" s="5">
        <f>_xlfn.XLOOKUP(B13,직원!$A$2:$A$41,직원!$B$2:$B$41,"미등록")</f>
        <v/>
      </c>
      <c r="D13" s="10" t="n">
        <v>0.3541666666666667</v>
      </c>
      <c r="E13" s="10" t="n">
        <v>0.8333333333333334</v>
      </c>
      <c r="F13" s="5">
        <f>ROUND((E13-D13+(E13&lt;D13))*24-1,2)</f>
        <v/>
      </c>
      <c r="G13" s="5">
        <f>MAX(0,F13-8)</f>
        <v/>
      </c>
    </row>
    <row r="14">
      <c r="A14" s="6" t="n">
        <v>46300</v>
      </c>
      <c r="B14" s="5" t="inlineStr">
        <is>
          <t>G003</t>
        </is>
      </c>
      <c r="C14" s="5">
        <f>_xlfn.XLOOKUP(B14,직원!$A$2:$A$41,직원!$B$2:$B$41,"미등록")</f>
        <v/>
      </c>
      <c r="D14" s="10" t="n">
        <v>0.3541666666666667</v>
      </c>
      <c r="E14" s="10" t="n">
        <v>0.8333333333333334</v>
      </c>
      <c r="F14" s="5">
        <f>ROUND((E14-D14+(E14&lt;D14))*24-1,2)</f>
        <v/>
      </c>
      <c r="G14" s="5">
        <f>MAX(0,F14-8)</f>
        <v/>
      </c>
    </row>
    <row r="15">
      <c r="A15" s="6" t="n">
        <v>46302</v>
      </c>
      <c r="B15" s="5" t="inlineStr">
        <is>
          <t>G003</t>
        </is>
      </c>
      <c r="C15" s="5">
        <f>_xlfn.XLOOKUP(B15,직원!$A$2:$A$41,직원!$B$2:$B$41,"미등록")</f>
        <v/>
      </c>
      <c r="D15" s="10" t="n">
        <v>0.3611111111111111</v>
      </c>
      <c r="E15" s="10" t="n">
        <v>0.8194444444444444</v>
      </c>
      <c r="F15" s="5">
        <f>ROUND((E15-D15+(E15&lt;D15))*24-1,2)</f>
        <v/>
      </c>
      <c r="G15" s="5">
        <f>MAX(0,F15-8)</f>
        <v/>
      </c>
    </row>
    <row r="16">
      <c r="A16" s="6" t="n">
        <v>46304</v>
      </c>
      <c r="B16" s="5" t="inlineStr">
        <is>
          <t>G003</t>
        </is>
      </c>
      <c r="C16" s="5">
        <f>_xlfn.XLOOKUP(B16,직원!$A$2:$A$41,직원!$B$2:$B$41,"미등록")</f>
        <v/>
      </c>
      <c r="D16" s="10" t="n">
        <v>0.3611111111111111</v>
      </c>
      <c r="E16" s="10" t="n">
        <v>0.8194444444444444</v>
      </c>
      <c r="F16" s="5">
        <f>ROUND((E16-D16+(E16&lt;D16))*24-1,2)</f>
        <v/>
      </c>
      <c r="G16" s="5">
        <f>MAX(0,F16-8)</f>
        <v/>
      </c>
    </row>
    <row r="17">
      <c r="A17" s="6" t="n">
        <v>46307</v>
      </c>
      <c r="B17" s="5" t="inlineStr">
        <is>
          <t>G003</t>
        </is>
      </c>
      <c r="C17" s="5">
        <f>_xlfn.XLOOKUP(B17,직원!$A$2:$A$41,직원!$B$2:$B$41,"미등록")</f>
        <v/>
      </c>
      <c r="D17" s="10" t="n">
        <v>0.3611111111111111</v>
      </c>
      <c r="E17" s="10" t="n">
        <v>0.7986111111111112</v>
      </c>
      <c r="F17" s="5">
        <f>ROUND((E17-D17+(E17&lt;D17))*24-1,2)</f>
        <v/>
      </c>
      <c r="G17" s="5">
        <f>MAX(0,F17-8)</f>
        <v/>
      </c>
    </row>
    <row r="18">
      <c r="A18" s="6" t="n">
        <v>46309</v>
      </c>
      <c r="B18" s="5" t="inlineStr">
        <is>
          <t>G003</t>
        </is>
      </c>
      <c r="C18" s="5">
        <f>_xlfn.XLOOKUP(B18,직원!$A$2:$A$41,직원!$B$2:$B$41,"미등록")</f>
        <v/>
      </c>
      <c r="D18" s="10" t="n">
        <v>0.3680555555555556</v>
      </c>
      <c r="E18" s="10" t="n">
        <v>0.7569444444444444</v>
      </c>
      <c r="F18" s="5">
        <f>ROUND((E18-D18+(E18&lt;D18))*24-1,2)</f>
        <v/>
      </c>
      <c r="G18" s="5">
        <f>MAX(0,F18-8)</f>
        <v/>
      </c>
    </row>
    <row r="19">
      <c r="A19" s="6" t="n">
        <v>46311</v>
      </c>
      <c r="B19" s="5" t="inlineStr">
        <is>
          <t>G003</t>
        </is>
      </c>
      <c r="C19" s="5">
        <f>_xlfn.XLOOKUP(B19,직원!$A$2:$A$41,직원!$B$2:$B$41,"미등록")</f>
        <v/>
      </c>
      <c r="D19" s="10" t="n">
        <v>0.3541666666666667</v>
      </c>
      <c r="E19" s="10" t="n">
        <v>0.9236111111111112</v>
      </c>
      <c r="F19" s="5">
        <f>ROUND((E19-D19+(E19&lt;D19))*24-1,2)</f>
        <v/>
      </c>
      <c r="G19" s="5">
        <f>MAX(0,F19-8)</f>
        <v/>
      </c>
    </row>
    <row r="20">
      <c r="A20" s="6" t="n">
        <v>46300</v>
      </c>
      <c r="B20" s="5" t="inlineStr">
        <is>
          <t>G004</t>
        </is>
      </c>
      <c r="C20" s="5">
        <f>_xlfn.XLOOKUP(B20,직원!$A$2:$A$41,직원!$B$2:$B$41,"미등록")</f>
        <v/>
      </c>
      <c r="D20" s="10" t="n">
        <v>0.3680555555555556</v>
      </c>
      <c r="E20" s="10" t="n">
        <v>0.8402777777777778</v>
      </c>
      <c r="F20" s="5">
        <f>ROUND((E20-D20+(E20&lt;D20))*24-1,2)</f>
        <v/>
      </c>
      <c r="G20" s="5">
        <f>MAX(0,F20-8)</f>
        <v/>
      </c>
    </row>
    <row r="21">
      <c r="A21" s="6" t="n">
        <v>46302</v>
      </c>
      <c r="B21" s="5" t="inlineStr">
        <is>
          <t>G004</t>
        </is>
      </c>
      <c r="C21" s="5">
        <f>_xlfn.XLOOKUP(B21,직원!$A$2:$A$41,직원!$B$2:$B$41,"미등록")</f>
        <v/>
      </c>
      <c r="D21" s="10" t="n">
        <v>0.3680555555555556</v>
      </c>
      <c r="E21" s="10" t="n">
        <v>0.7916666666666666</v>
      </c>
      <c r="F21" s="5">
        <f>ROUND((E21-D21+(E21&lt;D21))*24-1,2)</f>
        <v/>
      </c>
      <c r="G21" s="5">
        <f>MAX(0,F21-8)</f>
        <v/>
      </c>
    </row>
    <row r="22">
      <c r="A22" s="6" t="n">
        <v>46304</v>
      </c>
      <c r="B22" s="5" t="inlineStr">
        <is>
          <t>G004</t>
        </is>
      </c>
      <c r="C22" s="5">
        <f>_xlfn.XLOOKUP(B22,직원!$A$2:$A$41,직원!$B$2:$B$41,"미등록")</f>
        <v/>
      </c>
      <c r="D22" s="10" t="n">
        <v>0.3680555555555556</v>
      </c>
      <c r="E22" s="10" t="n">
        <v>0.0625</v>
      </c>
      <c r="F22" s="5">
        <f>ROUND((E22-D22+(E22&lt;D22))*24-1,2)</f>
        <v/>
      </c>
      <c r="G22" s="5">
        <f>MAX(0,F22-8)</f>
        <v/>
      </c>
    </row>
    <row r="23">
      <c r="A23" s="6" t="n">
        <v>46307</v>
      </c>
      <c r="B23" s="5" t="inlineStr">
        <is>
          <t>G004</t>
        </is>
      </c>
      <c r="C23" s="5">
        <f>_xlfn.XLOOKUP(B23,직원!$A$2:$A$41,직원!$B$2:$B$41,"미등록")</f>
        <v/>
      </c>
      <c r="D23" s="10" t="n">
        <v>0.3611111111111111</v>
      </c>
      <c r="E23" s="10" t="n">
        <v>0.8194444444444444</v>
      </c>
      <c r="F23" s="5">
        <f>ROUND((E23-D23+(E23&lt;D23))*24-1,2)</f>
        <v/>
      </c>
      <c r="G23" s="5">
        <f>MAX(0,F23-8)</f>
        <v/>
      </c>
    </row>
    <row r="24">
      <c r="A24" s="6" t="n">
        <v>46309</v>
      </c>
      <c r="B24" s="5" t="inlineStr">
        <is>
          <t>G004</t>
        </is>
      </c>
      <c r="C24" s="5">
        <f>_xlfn.XLOOKUP(B24,직원!$A$2:$A$41,직원!$B$2:$B$41,"미등록")</f>
        <v/>
      </c>
      <c r="D24" s="10" t="n">
        <v>0.3541666666666667</v>
      </c>
      <c r="E24" s="10" t="n">
        <v>0.9236111111111112</v>
      </c>
      <c r="F24" s="5">
        <f>ROUND((E24-D24+(E24&lt;D24))*24-1,2)</f>
        <v/>
      </c>
      <c r="G24" s="5">
        <f>MAX(0,F24-8)</f>
        <v/>
      </c>
    </row>
    <row r="25">
      <c r="A25" s="6" t="n">
        <v>46311</v>
      </c>
      <c r="B25" s="5" t="inlineStr">
        <is>
          <t>G004</t>
        </is>
      </c>
      <c r="C25" s="5">
        <f>_xlfn.XLOOKUP(B25,직원!$A$2:$A$41,직원!$B$2:$B$41,"미등록")</f>
        <v/>
      </c>
      <c r="D25" s="10" t="n">
        <v>0.3611111111111111</v>
      </c>
      <c r="E25" s="10" t="n">
        <v>0.7708333333333334</v>
      </c>
      <c r="F25" s="5">
        <f>ROUND((E25-D25+(E25&lt;D25))*24-1,2)</f>
        <v/>
      </c>
      <c r="G25" s="5">
        <f>MAX(0,F25-8)</f>
        <v/>
      </c>
    </row>
    <row r="26">
      <c r="A26" s="6" t="n">
        <v>46300</v>
      </c>
      <c r="B26" s="5" t="inlineStr">
        <is>
          <t>G005</t>
        </is>
      </c>
      <c r="C26" s="5">
        <f>_xlfn.XLOOKUP(B26,직원!$A$2:$A$41,직원!$B$2:$B$41,"미등록")</f>
        <v/>
      </c>
      <c r="D26" s="10" t="n">
        <v>0.3541666666666667</v>
      </c>
      <c r="E26" s="10" t="n">
        <v>0.875</v>
      </c>
      <c r="F26" s="5">
        <f>ROUND((E26-D26+(E26&lt;D26))*24-1,2)</f>
        <v/>
      </c>
      <c r="G26" s="5">
        <f>MAX(0,F26-8)</f>
        <v/>
      </c>
    </row>
    <row r="27">
      <c r="A27" s="6" t="n">
        <v>46302</v>
      </c>
      <c r="B27" s="5" t="inlineStr">
        <is>
          <t>G005</t>
        </is>
      </c>
      <c r="C27" s="5">
        <f>_xlfn.XLOOKUP(B27,직원!$A$2:$A$41,직원!$B$2:$B$41,"미등록")</f>
        <v/>
      </c>
      <c r="D27" s="10" t="n">
        <v>0.3680555555555556</v>
      </c>
      <c r="E27" s="10" t="n">
        <v>0.7777777777777778</v>
      </c>
      <c r="F27" s="5">
        <f>ROUND((E27-D27+(E27&lt;D27))*24-1,2)</f>
        <v/>
      </c>
      <c r="G27" s="5">
        <f>MAX(0,F27-8)</f>
        <v/>
      </c>
    </row>
    <row r="28">
      <c r="A28" s="6" t="n">
        <v>46304</v>
      </c>
      <c r="B28" s="5" t="inlineStr">
        <is>
          <t>G005</t>
        </is>
      </c>
      <c r="C28" s="5">
        <f>_xlfn.XLOOKUP(B28,직원!$A$2:$A$41,직원!$B$2:$B$41,"미등록")</f>
        <v/>
      </c>
      <c r="D28" s="10" t="n">
        <v>0.3541666666666667</v>
      </c>
      <c r="E28" s="10" t="n">
        <v>0.8333333333333334</v>
      </c>
      <c r="F28" s="5">
        <f>ROUND((E28-D28+(E28&lt;D28))*24-1,2)</f>
        <v/>
      </c>
      <c r="G28" s="5">
        <f>MAX(0,F28-8)</f>
        <v/>
      </c>
    </row>
    <row r="29">
      <c r="A29" s="6" t="n">
        <v>46307</v>
      </c>
      <c r="B29" s="5" t="inlineStr">
        <is>
          <t>G005</t>
        </is>
      </c>
      <c r="C29" s="5">
        <f>_xlfn.XLOOKUP(B29,직원!$A$2:$A$41,직원!$B$2:$B$41,"미등록")</f>
        <v/>
      </c>
      <c r="D29" s="10" t="n">
        <v>0.3611111111111111</v>
      </c>
      <c r="E29" s="10" t="n">
        <v>0.7777777777777778</v>
      </c>
      <c r="F29" s="5">
        <f>ROUND((E29-D29+(E29&lt;D29))*24-1,2)</f>
        <v/>
      </c>
      <c r="G29" s="5">
        <f>MAX(0,F29-8)</f>
        <v/>
      </c>
    </row>
    <row r="30">
      <c r="A30" s="6" t="n">
        <v>46309</v>
      </c>
      <c r="B30" s="5" t="inlineStr">
        <is>
          <t>G005</t>
        </is>
      </c>
      <c r="C30" s="5">
        <f>_xlfn.XLOOKUP(B30,직원!$A$2:$A$41,직원!$B$2:$B$41,"미등록")</f>
        <v/>
      </c>
      <c r="D30" s="10" t="n">
        <v>0.3680555555555556</v>
      </c>
      <c r="E30" s="10" t="n">
        <v>0.75</v>
      </c>
      <c r="F30" s="5">
        <f>ROUND((E30-D30+(E30&lt;D30))*24-1,2)</f>
        <v/>
      </c>
      <c r="G30" s="5">
        <f>MAX(0,F30-8)</f>
        <v/>
      </c>
    </row>
    <row r="31">
      <c r="A31" s="6" t="n">
        <v>46311</v>
      </c>
      <c r="B31" s="5" t="inlineStr">
        <is>
          <t>G005</t>
        </is>
      </c>
      <c r="C31" s="5">
        <f>_xlfn.XLOOKUP(B31,직원!$A$2:$A$41,직원!$B$2:$B$41,"미등록")</f>
        <v/>
      </c>
      <c r="D31" s="10" t="n">
        <v>0.3541666666666667</v>
      </c>
      <c r="E31" s="10" t="n">
        <v>0.7986111111111112</v>
      </c>
      <c r="F31" s="5">
        <f>ROUND((E31-D31+(E31&lt;D31))*24-1,2)</f>
        <v/>
      </c>
      <c r="G31" s="5">
        <f>MAX(0,F31-8)</f>
        <v/>
      </c>
    </row>
    <row r="32">
      <c r="A32" s="6" t="n">
        <v>46300</v>
      </c>
      <c r="B32" s="5" t="inlineStr">
        <is>
          <t>G006</t>
        </is>
      </c>
      <c r="C32" s="5">
        <f>_xlfn.XLOOKUP(B32,직원!$A$2:$A$41,직원!$B$2:$B$41,"미등록")</f>
        <v/>
      </c>
      <c r="D32" s="10" t="n">
        <v>0.3611111111111111</v>
      </c>
      <c r="E32" s="10" t="n">
        <v>0.8194444444444444</v>
      </c>
      <c r="F32" s="5">
        <f>ROUND((E32-D32+(E32&lt;D32))*24-1,2)</f>
        <v/>
      </c>
      <c r="G32" s="5">
        <f>MAX(0,F32-8)</f>
        <v/>
      </c>
    </row>
    <row r="33">
      <c r="A33" s="6" t="n">
        <v>46302</v>
      </c>
      <c r="B33" s="5" t="inlineStr">
        <is>
          <t>G006</t>
        </is>
      </c>
      <c r="C33" s="5">
        <f>_xlfn.XLOOKUP(B33,직원!$A$2:$A$41,직원!$B$2:$B$41,"미등록")</f>
        <v/>
      </c>
      <c r="D33" s="10" t="n">
        <v>0.3680555555555556</v>
      </c>
      <c r="E33" s="10" t="n">
        <v>0.8611111111111112</v>
      </c>
      <c r="F33" s="5">
        <f>ROUND((E33-D33+(E33&lt;D33))*24-1,2)</f>
        <v/>
      </c>
      <c r="G33" s="5">
        <f>MAX(0,F33-8)</f>
        <v/>
      </c>
    </row>
    <row r="34">
      <c r="A34" s="6" t="n">
        <v>46304</v>
      </c>
      <c r="B34" s="5" t="inlineStr">
        <is>
          <t>G006</t>
        </is>
      </c>
      <c r="C34" s="5">
        <f>_xlfn.XLOOKUP(B34,직원!$A$2:$A$41,직원!$B$2:$B$41,"미등록")</f>
        <v/>
      </c>
      <c r="D34" s="10" t="n">
        <v>0.3680555555555556</v>
      </c>
      <c r="E34" s="10" t="n">
        <v>0.8194444444444444</v>
      </c>
      <c r="F34" s="5">
        <f>ROUND((E34-D34+(E34&lt;D34))*24-1,2)</f>
        <v/>
      </c>
      <c r="G34" s="5">
        <f>MAX(0,F34-8)</f>
        <v/>
      </c>
    </row>
    <row r="35">
      <c r="A35" s="6" t="n">
        <v>46307</v>
      </c>
      <c r="B35" s="5" t="inlineStr">
        <is>
          <t>G006</t>
        </is>
      </c>
      <c r="C35" s="5">
        <f>_xlfn.XLOOKUP(B35,직원!$A$2:$A$41,직원!$B$2:$B$41,"미등록")</f>
        <v/>
      </c>
      <c r="D35" s="10" t="n">
        <v>0.3680555555555556</v>
      </c>
      <c r="E35" s="10" t="n">
        <v>0.8194444444444444</v>
      </c>
      <c r="F35" s="5">
        <f>ROUND((E35-D35+(E35&lt;D35))*24-1,2)</f>
        <v/>
      </c>
      <c r="G35" s="5">
        <f>MAX(0,F35-8)</f>
        <v/>
      </c>
    </row>
    <row r="36">
      <c r="A36" s="6" t="n">
        <v>46309</v>
      </c>
      <c r="B36" s="5" t="inlineStr">
        <is>
          <t>G006</t>
        </is>
      </c>
      <c r="C36" s="5">
        <f>_xlfn.XLOOKUP(B36,직원!$A$2:$A$41,직원!$B$2:$B$41,"미등록")</f>
        <v/>
      </c>
      <c r="D36" s="10" t="n">
        <v>0.3611111111111111</v>
      </c>
      <c r="E36" s="10" t="n">
        <v>0.7569444444444444</v>
      </c>
      <c r="F36" s="5">
        <f>ROUND((E36-D36+(E36&lt;D36))*24-1,2)</f>
        <v/>
      </c>
      <c r="G36" s="5">
        <f>MAX(0,F36-8)</f>
        <v/>
      </c>
    </row>
    <row r="37">
      <c r="A37" s="6" t="n">
        <v>46311</v>
      </c>
      <c r="B37" s="5" t="inlineStr">
        <is>
          <t>G006</t>
        </is>
      </c>
      <c r="C37" s="5">
        <f>_xlfn.XLOOKUP(B37,직원!$A$2:$A$41,직원!$B$2:$B$41,"미등록")</f>
        <v/>
      </c>
      <c r="D37" s="10" t="n">
        <v>0.3541666666666667</v>
      </c>
      <c r="E37" s="10" t="n">
        <v>0.9444444444444444</v>
      </c>
      <c r="F37" s="5">
        <f>ROUND((E37-D37+(E37&lt;D37))*24-1,2)</f>
        <v/>
      </c>
      <c r="G37" s="5">
        <f>MAX(0,F37-8)</f>
        <v/>
      </c>
    </row>
    <row r="38">
      <c r="A38" s="6" t="n">
        <v>46300</v>
      </c>
      <c r="B38" s="5" t="inlineStr">
        <is>
          <t>G007</t>
        </is>
      </c>
      <c r="C38" s="5">
        <f>_xlfn.XLOOKUP(B38,직원!$A$2:$A$41,직원!$B$2:$B$41,"미등록")</f>
        <v/>
      </c>
      <c r="D38" s="10" t="n">
        <v>0.3680555555555556</v>
      </c>
      <c r="E38" s="10" t="n">
        <v>0.7569444444444444</v>
      </c>
      <c r="F38" s="5">
        <f>ROUND((E38-D38+(E38&lt;D38))*24-1,2)</f>
        <v/>
      </c>
      <c r="G38" s="5">
        <f>MAX(0,F38-8)</f>
        <v/>
      </c>
    </row>
    <row r="39">
      <c r="A39" s="6" t="n">
        <v>46302</v>
      </c>
      <c r="B39" s="5" t="inlineStr">
        <is>
          <t>G007</t>
        </is>
      </c>
      <c r="C39" s="5">
        <f>_xlfn.XLOOKUP(B39,직원!$A$2:$A$41,직원!$B$2:$B$41,"미등록")</f>
        <v/>
      </c>
      <c r="D39" s="10" t="n">
        <v>0.3541666666666667</v>
      </c>
      <c r="E39" s="10" t="n">
        <v>0.8125</v>
      </c>
      <c r="F39" s="5">
        <f>ROUND((E39-D39+(E39&lt;D39))*24-1,2)</f>
        <v/>
      </c>
      <c r="G39" s="5">
        <f>MAX(0,F39-8)</f>
        <v/>
      </c>
    </row>
    <row r="40">
      <c r="A40" s="6" t="n">
        <v>46304</v>
      </c>
      <c r="B40" s="5" t="inlineStr">
        <is>
          <t>G007</t>
        </is>
      </c>
      <c r="C40" s="5">
        <f>_xlfn.XLOOKUP(B40,직원!$A$2:$A$41,직원!$B$2:$B$41,"미등록")</f>
        <v/>
      </c>
      <c r="D40" s="10" t="n">
        <v>0.3611111111111111</v>
      </c>
      <c r="E40" s="10" t="n">
        <v>0.7777777777777778</v>
      </c>
      <c r="F40" s="5">
        <f>ROUND((E40-D40+(E40&lt;D40))*24-1,2)</f>
        <v/>
      </c>
      <c r="G40" s="5">
        <f>MAX(0,F40-8)</f>
        <v/>
      </c>
    </row>
    <row r="41">
      <c r="A41" s="6" t="n">
        <v>46307</v>
      </c>
      <c r="B41" s="5" t="inlineStr">
        <is>
          <t>G007</t>
        </is>
      </c>
      <c r="C41" s="5">
        <f>_xlfn.XLOOKUP(B41,직원!$A$2:$A$41,직원!$B$2:$B$41,"미등록")</f>
        <v/>
      </c>
      <c r="D41" s="10" t="n">
        <v>0.3541666666666667</v>
      </c>
      <c r="E41" s="10" t="n">
        <v>0.7569444444444444</v>
      </c>
      <c r="F41" s="5">
        <f>ROUND((E41-D41+(E41&lt;D41))*24-1,2)</f>
        <v/>
      </c>
      <c r="G41" s="5">
        <f>MAX(0,F41-8)</f>
        <v/>
      </c>
    </row>
    <row r="42">
      <c r="A42" s="6" t="n">
        <v>46309</v>
      </c>
      <c r="B42" s="5" t="inlineStr">
        <is>
          <t>G007</t>
        </is>
      </c>
      <c r="C42" s="5">
        <f>_xlfn.XLOOKUP(B42,직원!$A$2:$A$41,직원!$B$2:$B$41,"미등록")</f>
        <v/>
      </c>
      <c r="D42" s="10" t="n">
        <v>0.3541666666666667</v>
      </c>
      <c r="E42" s="10" t="n">
        <v>0.8194444444444444</v>
      </c>
      <c r="F42" s="5">
        <f>ROUND((E42-D42+(E42&lt;D42))*24-1,2)</f>
        <v/>
      </c>
      <c r="G42" s="5">
        <f>MAX(0,F42-8)</f>
        <v/>
      </c>
    </row>
    <row r="43">
      <c r="A43" s="6" t="n">
        <v>46311</v>
      </c>
      <c r="B43" s="5" t="inlineStr">
        <is>
          <t>G007</t>
        </is>
      </c>
      <c r="C43" s="5">
        <f>_xlfn.XLOOKUP(B43,직원!$A$2:$A$41,직원!$B$2:$B$41,"미등록")</f>
        <v/>
      </c>
      <c r="D43" s="10" t="n">
        <v>0.3680555555555556</v>
      </c>
      <c r="E43" s="10" t="n">
        <v>0.9444444444444444</v>
      </c>
      <c r="F43" s="5">
        <f>ROUND((E43-D43+(E43&lt;D43))*24-1,2)</f>
        <v/>
      </c>
      <c r="G43" s="5">
        <f>MAX(0,F43-8)</f>
        <v/>
      </c>
    </row>
    <row r="44">
      <c r="A44" s="6" t="n">
        <v>46300</v>
      </c>
      <c r="B44" s="5" t="inlineStr">
        <is>
          <t>G008</t>
        </is>
      </c>
      <c r="C44" s="5">
        <f>_xlfn.XLOOKUP(B44,직원!$A$2:$A$41,직원!$B$2:$B$41,"미등록")</f>
        <v/>
      </c>
      <c r="D44" s="10" t="n">
        <v>0.3680555555555556</v>
      </c>
      <c r="E44" s="10" t="n">
        <v>0.8402777777777778</v>
      </c>
      <c r="F44" s="5">
        <f>ROUND((E44-D44+(E44&lt;D44))*24-1,2)</f>
        <v/>
      </c>
      <c r="G44" s="5">
        <f>MAX(0,F44-8)</f>
        <v/>
      </c>
    </row>
    <row r="45">
      <c r="A45" s="6" t="n">
        <v>46302</v>
      </c>
      <c r="B45" s="5" t="inlineStr">
        <is>
          <t>G008</t>
        </is>
      </c>
      <c r="C45" s="5">
        <f>_xlfn.XLOOKUP(B45,직원!$A$2:$A$41,직원!$B$2:$B$41,"미등록")</f>
        <v/>
      </c>
      <c r="D45" s="10" t="n">
        <v>0.3611111111111111</v>
      </c>
      <c r="E45" s="10" t="n">
        <v>0.7986111111111112</v>
      </c>
      <c r="F45" s="5">
        <f>ROUND((E45-D45+(E45&lt;D45))*24-1,2)</f>
        <v/>
      </c>
      <c r="G45" s="5">
        <f>MAX(0,F45-8)</f>
        <v/>
      </c>
    </row>
    <row r="46">
      <c r="A46" s="6" t="n">
        <v>46304</v>
      </c>
      <c r="B46" s="5" t="inlineStr">
        <is>
          <t>G008</t>
        </is>
      </c>
      <c r="C46" s="5">
        <f>_xlfn.XLOOKUP(B46,직원!$A$2:$A$41,직원!$B$2:$B$41,"미등록")</f>
        <v/>
      </c>
      <c r="D46" s="10" t="n">
        <v>0.3611111111111111</v>
      </c>
      <c r="E46" s="10" t="n">
        <v>0.8611111111111112</v>
      </c>
      <c r="F46" s="5">
        <f>ROUND((E46-D46+(E46&lt;D46))*24-1,2)</f>
        <v/>
      </c>
      <c r="G46" s="5">
        <f>MAX(0,F46-8)</f>
        <v/>
      </c>
    </row>
    <row r="47">
      <c r="A47" s="6" t="n">
        <v>46307</v>
      </c>
      <c r="B47" s="5" t="inlineStr">
        <is>
          <t>G008</t>
        </is>
      </c>
      <c r="C47" s="5">
        <f>_xlfn.XLOOKUP(B47,직원!$A$2:$A$41,직원!$B$2:$B$41,"미등록")</f>
        <v/>
      </c>
      <c r="D47" s="10" t="n">
        <v>0.3611111111111111</v>
      </c>
      <c r="E47" s="10" t="n">
        <v>0.8333333333333334</v>
      </c>
      <c r="F47" s="5">
        <f>ROUND((E47-D47+(E47&lt;D47))*24-1,2)</f>
        <v/>
      </c>
      <c r="G47" s="5">
        <f>MAX(0,F47-8)</f>
        <v/>
      </c>
    </row>
    <row r="48">
      <c r="A48" s="6" t="n">
        <v>46309</v>
      </c>
      <c r="B48" s="5" t="inlineStr">
        <is>
          <t>G008</t>
        </is>
      </c>
      <c r="C48" s="5">
        <f>_xlfn.XLOOKUP(B48,직원!$A$2:$A$41,직원!$B$2:$B$41,"미등록")</f>
        <v/>
      </c>
      <c r="D48" s="10" t="n">
        <v>0.3541666666666667</v>
      </c>
      <c r="E48" s="10" t="n">
        <v>0.8125</v>
      </c>
      <c r="F48" s="5">
        <f>ROUND((E48-D48+(E48&lt;D48))*24-1,2)</f>
        <v/>
      </c>
      <c r="G48" s="5">
        <f>MAX(0,F48-8)</f>
        <v/>
      </c>
    </row>
    <row r="49">
      <c r="A49" s="6" t="n">
        <v>46311</v>
      </c>
      <c r="B49" s="5" t="inlineStr">
        <is>
          <t>G008</t>
        </is>
      </c>
      <c r="C49" s="5">
        <f>_xlfn.XLOOKUP(B49,직원!$A$2:$A$41,직원!$B$2:$B$41,"미등록")</f>
        <v/>
      </c>
      <c r="D49" s="10" t="n">
        <v>0.3541666666666667</v>
      </c>
      <c r="E49" s="10" t="n">
        <v>0.75</v>
      </c>
      <c r="F49" s="5">
        <f>ROUND((E49-D49+(E49&lt;D49))*24-1,2)</f>
        <v/>
      </c>
      <c r="G49" s="5">
        <f>MAX(0,F49-8)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2" customWidth="1" min="4" max="4"/>
    <col width="14" customWidth="1" min="5" max="5"/>
    <col width="14" customWidth="1" min="6" max="6"/>
    <col width="3" customWidth="1" min="7" max="7"/>
    <col width="10" customWidth="1" min="8" max="8"/>
    <col width="14" customWidth="1" min="9" max="9"/>
  </cols>
  <sheetData>
    <row r="1">
      <c r="A1" s="4" t="inlineStr">
        <is>
          <t>부서코드</t>
        </is>
      </c>
      <c r="B1" s="4" t="inlineStr">
        <is>
          <t>부서명</t>
        </is>
      </c>
      <c r="C1" s="4" t="inlineStr">
        <is>
          <t>인원</t>
        </is>
      </c>
      <c r="D1" s="4" t="inlineStr">
        <is>
          <t>평균 소진율</t>
        </is>
      </c>
      <c r="E1" s="4" t="inlineStr">
        <is>
          <t>잔여일수 합계</t>
        </is>
      </c>
      <c r="F1" s="4" t="inlineStr">
        <is>
          <t>안내대상 인원</t>
        </is>
      </c>
      <c r="G1" s="11" t="n"/>
      <c r="H1" s="4" t="inlineStr">
        <is>
          <t>사번</t>
        </is>
      </c>
      <c r="I1" s="4" t="inlineStr">
        <is>
          <t>시간외 합계(h)</t>
        </is>
      </c>
    </row>
    <row r="2">
      <c r="A2" s="5" t="inlineStr">
        <is>
          <t>D01</t>
        </is>
      </c>
      <c r="B2" s="5">
        <f>_xlfn.XLOOKUP(A2,부서코드표!$A$2:$A$9,부서코드표!$B$2:$B$9,"미등록")</f>
        <v/>
      </c>
      <c r="C2" s="5">
        <f>COUNTIF(직원!$C:$C,A2)</f>
        <v/>
      </c>
      <c r="D2" s="7">
        <f>IFERROR(AVERAGEIFS(직원!$K:$K,직원!$C:$C,A2),0)</f>
        <v/>
      </c>
      <c r="E2" s="5">
        <f>SUMIFS(직원!$J:$J,직원!$C:$C,A2)</f>
        <v/>
      </c>
      <c r="F2" s="5">
        <f>COUNTIFS(직원!$C:$C,A2,직원!$L:$L,"사용 안내")</f>
        <v/>
      </c>
      <c r="H2" s="5" t="inlineStr">
        <is>
          <t>G001</t>
        </is>
      </c>
      <c r="I2" s="5">
        <f>SUMIFS(시간외근무!$G:$G,시간외근무!$B:$B,H2)</f>
        <v/>
      </c>
    </row>
    <row r="3">
      <c r="A3" s="5" t="inlineStr">
        <is>
          <t>D02</t>
        </is>
      </c>
      <c r="B3" s="5">
        <f>_xlfn.XLOOKUP(A3,부서코드표!$A$2:$A$9,부서코드표!$B$2:$B$9,"미등록")</f>
        <v/>
      </c>
      <c r="C3" s="5">
        <f>COUNTIF(직원!$C:$C,A3)</f>
        <v/>
      </c>
      <c r="D3" s="7">
        <f>IFERROR(AVERAGEIFS(직원!$K:$K,직원!$C:$C,A3),0)</f>
        <v/>
      </c>
      <c r="E3" s="5">
        <f>SUMIFS(직원!$J:$J,직원!$C:$C,A3)</f>
        <v/>
      </c>
      <c r="F3" s="5">
        <f>COUNTIFS(직원!$C:$C,A3,직원!$L:$L,"사용 안내")</f>
        <v/>
      </c>
      <c r="H3" s="5" t="inlineStr">
        <is>
          <t>G002</t>
        </is>
      </c>
      <c r="I3" s="5">
        <f>SUMIFS(시간외근무!$G:$G,시간외근무!$B:$B,H3)</f>
        <v/>
      </c>
    </row>
    <row r="4">
      <c r="A4" s="5" t="inlineStr">
        <is>
          <t>D03</t>
        </is>
      </c>
      <c r="B4" s="5">
        <f>_xlfn.XLOOKUP(A4,부서코드표!$A$2:$A$9,부서코드표!$B$2:$B$9,"미등록")</f>
        <v/>
      </c>
      <c r="C4" s="5">
        <f>COUNTIF(직원!$C:$C,A4)</f>
        <v/>
      </c>
      <c r="D4" s="7">
        <f>IFERROR(AVERAGEIFS(직원!$K:$K,직원!$C:$C,A4),0)</f>
        <v/>
      </c>
      <c r="E4" s="5">
        <f>SUMIFS(직원!$J:$J,직원!$C:$C,A4)</f>
        <v/>
      </c>
      <c r="F4" s="5">
        <f>COUNTIFS(직원!$C:$C,A4,직원!$L:$L,"사용 안내")</f>
        <v/>
      </c>
      <c r="H4" s="5" t="inlineStr">
        <is>
          <t>G003</t>
        </is>
      </c>
      <c r="I4" s="5">
        <f>SUMIFS(시간외근무!$G:$G,시간외근무!$B:$B,H4)</f>
        <v/>
      </c>
    </row>
    <row r="5">
      <c r="A5" s="5" t="inlineStr">
        <is>
          <t>D04</t>
        </is>
      </c>
      <c r="B5" s="5">
        <f>_xlfn.XLOOKUP(A5,부서코드표!$A$2:$A$9,부서코드표!$B$2:$B$9,"미등록")</f>
        <v/>
      </c>
      <c r="C5" s="5">
        <f>COUNTIF(직원!$C:$C,A5)</f>
        <v/>
      </c>
      <c r="D5" s="7">
        <f>IFERROR(AVERAGEIFS(직원!$K:$K,직원!$C:$C,A5),0)</f>
        <v/>
      </c>
      <c r="E5" s="5">
        <f>SUMIFS(직원!$J:$J,직원!$C:$C,A5)</f>
        <v/>
      </c>
      <c r="F5" s="5">
        <f>COUNTIFS(직원!$C:$C,A5,직원!$L:$L,"사용 안내")</f>
        <v/>
      </c>
      <c r="H5" s="5" t="inlineStr">
        <is>
          <t>G004</t>
        </is>
      </c>
      <c r="I5" s="5">
        <f>SUMIFS(시간외근무!$G:$G,시간외근무!$B:$B,H5)</f>
        <v/>
      </c>
    </row>
    <row r="6">
      <c r="A6" s="5" t="inlineStr">
        <is>
          <t>D05</t>
        </is>
      </c>
      <c r="B6" s="5">
        <f>_xlfn.XLOOKUP(A6,부서코드표!$A$2:$A$9,부서코드표!$B$2:$B$9,"미등록")</f>
        <v/>
      </c>
      <c r="C6" s="5">
        <f>COUNTIF(직원!$C:$C,A6)</f>
        <v/>
      </c>
      <c r="D6" s="7">
        <f>IFERROR(AVERAGEIFS(직원!$K:$K,직원!$C:$C,A6),0)</f>
        <v/>
      </c>
      <c r="E6" s="5">
        <f>SUMIFS(직원!$J:$J,직원!$C:$C,A6)</f>
        <v/>
      </c>
      <c r="F6" s="5">
        <f>COUNTIFS(직원!$C:$C,A6,직원!$L:$L,"사용 안내")</f>
        <v/>
      </c>
      <c r="H6" s="5" t="inlineStr">
        <is>
          <t>G005</t>
        </is>
      </c>
      <c r="I6" s="5">
        <f>SUMIFS(시간외근무!$G:$G,시간외근무!$B:$B,H6)</f>
        <v/>
      </c>
    </row>
    <row r="7">
      <c r="A7" s="5" t="inlineStr">
        <is>
          <t>D06</t>
        </is>
      </c>
      <c r="B7" s="5">
        <f>_xlfn.XLOOKUP(A7,부서코드표!$A$2:$A$9,부서코드표!$B$2:$B$9,"미등록")</f>
        <v/>
      </c>
      <c r="C7" s="5">
        <f>COUNTIF(직원!$C:$C,A7)</f>
        <v/>
      </c>
      <c r="D7" s="7">
        <f>IFERROR(AVERAGEIFS(직원!$K:$K,직원!$C:$C,A7),0)</f>
        <v/>
      </c>
      <c r="E7" s="5">
        <f>SUMIFS(직원!$J:$J,직원!$C:$C,A7)</f>
        <v/>
      </c>
      <c r="F7" s="5">
        <f>COUNTIFS(직원!$C:$C,A7,직원!$L:$L,"사용 안내")</f>
        <v/>
      </c>
      <c r="H7" s="5" t="inlineStr">
        <is>
          <t>G006</t>
        </is>
      </c>
      <c r="I7" s="5">
        <f>SUMIFS(시간외근무!$G:$G,시간외근무!$B:$B,H7)</f>
        <v/>
      </c>
    </row>
    <row r="8">
      <c r="A8" s="5" t="inlineStr">
        <is>
          <t>D07</t>
        </is>
      </c>
      <c r="B8" s="5">
        <f>_xlfn.XLOOKUP(A8,부서코드표!$A$2:$A$9,부서코드표!$B$2:$B$9,"미등록")</f>
        <v/>
      </c>
      <c r="C8" s="5">
        <f>COUNTIF(직원!$C:$C,A8)</f>
        <v/>
      </c>
      <c r="D8" s="7">
        <f>IFERROR(AVERAGEIFS(직원!$K:$K,직원!$C:$C,A8),0)</f>
        <v/>
      </c>
      <c r="E8" s="5">
        <f>SUMIFS(직원!$J:$J,직원!$C:$C,A8)</f>
        <v/>
      </c>
      <c r="F8" s="5">
        <f>COUNTIFS(직원!$C:$C,A8,직원!$L:$L,"사용 안내")</f>
        <v/>
      </c>
      <c r="H8" s="5" t="inlineStr">
        <is>
          <t>G007</t>
        </is>
      </c>
      <c r="I8" s="5">
        <f>SUMIFS(시간외근무!$G:$G,시간외근무!$B:$B,H8)</f>
        <v/>
      </c>
    </row>
    <row r="9">
      <c r="A9" s="5" t="inlineStr">
        <is>
          <t>D08</t>
        </is>
      </c>
      <c r="B9" s="5">
        <f>_xlfn.XLOOKUP(A9,부서코드표!$A$2:$A$9,부서코드표!$B$2:$B$9,"미등록")</f>
        <v/>
      </c>
      <c r="C9" s="5">
        <f>COUNTIF(직원!$C:$C,A9)</f>
        <v/>
      </c>
      <c r="D9" s="7">
        <f>IFERROR(AVERAGEIFS(직원!$K:$K,직원!$C:$C,A9),0)</f>
        <v/>
      </c>
      <c r="E9" s="5">
        <f>SUMIFS(직원!$J:$J,직원!$C:$C,A9)</f>
        <v/>
      </c>
      <c r="F9" s="5">
        <f>COUNTIFS(직원!$C:$C,A9,직원!$L:$L,"사용 안내")</f>
        <v/>
      </c>
      <c r="H9" s="5" t="inlineStr">
        <is>
          <t>G008</t>
        </is>
      </c>
      <c r="I9" s="5">
        <f>SUMIFS(시간외근무!$G:$G,시간외근무!$B:$B,H9)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2026-10-15T06:14:02Z</dcterms:created>
  <dcterms:modified xmlns:dcterms="http://purl.org/dc/terms/" xmlns:xsi="http://www.w3.org/2001/XMLSchema-instance" xsi:type="dcterms:W3CDTF">2026-10-15T06:14:02Z</dcterms:modified>
</cp:coreProperties>
</file>
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9EFCC08D-ABDB-42EF-8EB6-1E09F1175008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2" r:id="rId1"/>
    <sheet name="매출정보" sheetId="1" r:id="rId2"/>
  </sheets>
  <definedNames>
    <definedName name="_xlnm._FilterDatabase" localSheetId="1" hidden="1">매출정보!$A$1:$J$31</definedName>
  </definedNames>
  <calcPr calcId="191029"/>
  <pivotCaches>
    <pivotCache cacheId="10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<sst xmlns="http://schemas.openxmlformats.org/spreadsheetml/2006/main" count="213" uniqueCount="84">
  <si>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</si>
  <si>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</si>
  <si>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</si>
  <si>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</si>
  <si>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</si>
  <si>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</si>
  <si>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</si>
  <si>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</si>
  <si>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</si>
  <si>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</si>
  <si>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</si>
  <si>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</si>
  <si>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</si>
  <si>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</si>
  <si>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</si>
  <si>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</si>
  <si>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</si>
  <si>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</si>
  <si>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</si>
  <si>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</si>
  <si>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</si>
  <si>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</si>
  <si>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</si>
  <si>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</si>
  <si>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</si>
  <si>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</si>
  <si>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</si>
  <si>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</si>
  <si>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</si>
  <si>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</si>
  <si>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</si>
  <si>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</si>
  <si>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</si>
  <si>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</si>
  <si>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</si>
  <si>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</si>
  <si>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</si>
  <si>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</si>
  <si>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</si>
  <si>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</si>
  <si>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</si>
  <si>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</si>
  <si>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</si>
  <si>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</si>
  <si>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</si>
  <si>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</si>
  <si>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</si>
  <si>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</si>
  <si>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</si>
  <si>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</si>
  <si>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</si>
  <si>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</si>
  <si>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</si>
  <si>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</si>
  <si>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</si>
  <si>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</si>
  <si>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</si>
  <si>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</si>
  <si>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</si>
  <si>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</si>
  <si>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</si>
  <si>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</si>
  <si>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납품일</t>
    <phoneticPr fontId="3" type="noConversion"/>
  </si>
  <si>
    <t>합계 :  영업실적</t>
  </si>
  <si>
    <t>납품수량</t>
  </si>
  <si>
    <t>0-9999</t>
  </si>
  <si>
    <t>10000-19999</t>
  </si>
  <si>
    <t>20000-29999</t>
  </si>
  <si>
    <t>30000-39999</t>
  </si>
  <si>
    <t>40000-49999</t>
  </si>
  <si>
    <t>50000-59999</t>
  </si>
  <si>
    <t>70000-79999</t>
  </si>
  <si>
    <t>80000-89999</t>
  </si>
  <si>
    <t>90000-100000</t>
  </si>
  <si>
    <t>개월(납품일)</t>
  </si>
  <si>
    <t>2월</t>
  </si>
  <si>
    <t>4월</t>
  </si>
  <si>
    <t>5월</t>
  </si>
  <si>
    <t>6월</t>
  </si>
  <si>
    <t>7월</t>
  </si>
  <si>
    <t>분기(납품일)</t>
  </si>
  <si>
    <t>1사분기</t>
  </si>
  <si>
    <t>2사분기</t>
  </si>
  <si>
    <t>3사분기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</si>
</sst>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406441319443" createdVersion="8" refreshedVersion="8" minRefreshableVersion="3" recordCount="30" xr:uid="{9740B64B-F777-410B-A169-C948E9CB58B5}">
  <cacheSource type="worksheet">
    <worksheetSource ref="A1:J31" sheet="매출정보"/>
  </cacheSource>
  <cacheFields count="12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/>
    </cacheField>
    <cacheField name="직위" numFmtId="0">
      <sharedItems/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7-13T00:00:00"/>
        <d v="2025-06-30T00:00:00"/>
        <d v="2025-06-10T00:00:00"/>
        <d v="2025-06-08T00:00:00"/>
        <d v="2025-05-29T00:00:00"/>
        <d v="2025-05-21T00:00:00"/>
        <d v="2025-05-27T00:00:00"/>
        <d v="2025-04-09T00:00:00"/>
        <d v="2025-04-15T00:00:00"/>
        <d v="2025-04-01T00:00:00"/>
        <d v="2025-04-07T00:00:00"/>
        <d v="2025-04-19T00:00:00"/>
        <d v="2025-02-25T00:00:00"/>
        <d v="2025-02-28T00:00:00"/>
        <d v="2025-02-11T00:00:00"/>
        <d v="2025-02-19T00:00:00"/>
      </sharedItems>
      <fieldGroup par="11"/>
    </cacheField>
    <cacheField name="납품수량" numFmtId="41">
      <sharedItems containsSemiMixedTypes="0" containsString="0" containsNumber="1" containsInteger="1" minValue="4000" maxValue="93000" count="24">
        <n v="40000"/>
        <n v="20000"/>
        <n v="12000"/>
        <n v="77000"/>
        <n v="76000"/>
        <n v="33000"/>
        <n v="8000"/>
        <n v="45000"/>
        <n v="13600"/>
        <n v="23000"/>
        <n v="50000"/>
        <n v="11200"/>
        <n v="4000"/>
        <n v="41200"/>
        <n v="80000"/>
        <n v="10000"/>
        <n v="24000"/>
        <n v="26400"/>
        <n v="55000"/>
        <n v="25000"/>
        <n v="36000"/>
        <n v="93000"/>
        <n v="59200"/>
        <n v="82000"/>
      </sharedItems>
      <fieldGroup base="8">
        <rangePr autoStart="0" autoEnd="0" startNum="0" endNum="100000" groupInterval="10000"/>
        <groupItems count="12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80000-89999"/>
          <s v="90000-100000"/>
          <s v="&gt;100000"/>
        </groupItems>
      </fieldGroup>
    </cacheField>
    <cacheField name=" 영업실적" numFmtId="41">
      <sharedItems containsSemiMixedTypes="0" containsString="0" containsNumber="1" containsInteger="1" minValue="1230000" maxValue="53000000"/>
    </cacheField>
    <cacheField name="개월(납품일)" numFmtId="0" databaseField="0">
      <fieldGroup base="7">
        <rangePr groupBy="months" startDate="2025-02-11T00:00:00" endDate="2025-07-21T00:00:00"/>
        <groupItems count="14">
          <s v="&lt;2025-02-1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7-21"/>
        </groupItems>
      </fieldGroup>
    </cacheField>
    <cacheField name="분기(납품일)" numFmtId="0" databaseField="0">
      <fieldGroup base="7">
        <rangePr groupBy="quarters" startDate="2025-02-11T00:00:00" endDate="2025-07-21T00:00:00"/>
        <groupItems count="6">
          <s v="&lt;2025-02-11"/>
          <s v="1사분기"/>
          <s v="2사분기"/>
          <s v="3사분기"/>
          <s v="4사분기"/>
          <s v="&gt;2025-07-21"/>
        </groupItems>
      </fieldGroup>
    </cacheField>
  </cacheFields>
  <extLst>
    <ext xmlns:x14="http://schemas.microsoft.com/office/spreadsheetml/2009/9/main" uri="{725AE2AE-9491-48be-B2B4-4EB974FC3084}">
      <x14:pivotCacheDefinition pivotCacheId="1814744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s v="여"/>
    <s v="대리"/>
    <x v="0"/>
    <x v="0"/>
    <s v="SEV"/>
    <x v="0"/>
    <x v="0"/>
    <n v="23000000"/>
  </r>
  <r>
    <n v="2"/>
    <s v="정수란"/>
    <s v="여"/>
    <s v="사원"/>
    <x v="0"/>
    <x v="1"/>
    <s v="SVI"/>
    <x v="1"/>
    <x v="1"/>
    <n v="3400000"/>
  </r>
  <r>
    <n v="3"/>
    <s v="오명근"/>
    <s v="남"/>
    <s v="사원"/>
    <x v="0"/>
    <x v="1"/>
    <s v="SVT"/>
    <x v="2"/>
    <x v="2"/>
    <n v="34000000"/>
  </r>
  <r>
    <n v="4"/>
    <s v="김형호"/>
    <s v="남"/>
    <s v="사원"/>
    <x v="0"/>
    <x v="2"/>
    <s v="SEZ"/>
    <x v="3"/>
    <x v="3"/>
    <n v="53000000"/>
  </r>
  <r>
    <n v="5"/>
    <s v="이희훈"/>
    <s v="여"/>
    <s v="대리"/>
    <x v="1"/>
    <x v="2"/>
    <s v="SVT"/>
    <x v="0"/>
    <x v="4"/>
    <n v="5300000"/>
  </r>
  <r>
    <n v="6"/>
    <s v="고원지"/>
    <s v="여"/>
    <s v="사원"/>
    <x v="1"/>
    <x v="2"/>
    <s v="SEZ"/>
    <x v="4"/>
    <x v="5"/>
    <n v="3245000"/>
  </r>
  <r>
    <n v="7"/>
    <s v="한재호"/>
    <s v="남"/>
    <s v="사원"/>
    <x v="1"/>
    <x v="1"/>
    <s v="TSO"/>
    <x v="5"/>
    <x v="6"/>
    <n v="36000000"/>
  </r>
  <r>
    <n v="8"/>
    <s v="조예준"/>
    <s v="남"/>
    <s v="대리"/>
    <x v="0"/>
    <x v="3"/>
    <s v="TSO"/>
    <x v="6"/>
    <x v="7"/>
    <n v="13000000"/>
  </r>
  <r>
    <n v="9"/>
    <s v="이시안"/>
    <s v="여"/>
    <s v="사원"/>
    <x v="1"/>
    <x v="0"/>
    <s v="SEZ"/>
    <x v="6"/>
    <x v="8"/>
    <n v="53000000"/>
  </r>
  <r>
    <n v="10"/>
    <s v="최지영"/>
    <s v="여"/>
    <s v="대리"/>
    <x v="1"/>
    <x v="3"/>
    <s v="SEZ"/>
    <x v="7"/>
    <x v="1"/>
    <n v="23400000"/>
  </r>
  <r>
    <n v="11"/>
    <s v="이성경"/>
    <s v="여"/>
    <s v="사원"/>
    <x v="0"/>
    <x v="3"/>
    <s v="TSO"/>
    <x v="6"/>
    <x v="0"/>
    <n v="34000000"/>
  </r>
  <r>
    <n v="12"/>
    <s v="이경미"/>
    <s v="여"/>
    <s v="대리"/>
    <x v="2"/>
    <x v="0"/>
    <s v="SVT"/>
    <x v="6"/>
    <x v="9"/>
    <n v="34000000"/>
  </r>
  <r>
    <n v="13"/>
    <s v="김현정"/>
    <s v="여"/>
    <s v="대리"/>
    <x v="2"/>
    <x v="3"/>
    <s v="SEV"/>
    <x v="8"/>
    <x v="10"/>
    <n v="45000000"/>
  </r>
  <r>
    <n v="14"/>
    <s v="고숭녕"/>
    <s v="남"/>
    <s v="대리"/>
    <x v="2"/>
    <x v="3"/>
    <s v="SEZ"/>
    <x v="6"/>
    <x v="11"/>
    <n v="33500000"/>
  </r>
  <r>
    <n v="15"/>
    <s v="조홍제"/>
    <s v="남"/>
    <s v="사원"/>
    <x v="2"/>
    <x v="0"/>
    <s v="SEZ"/>
    <x v="6"/>
    <x v="12"/>
    <n v="3400000"/>
  </r>
  <r>
    <n v="16"/>
    <s v="박국희"/>
    <s v="여"/>
    <s v="과장"/>
    <x v="2"/>
    <x v="1"/>
    <s v="SEZ"/>
    <x v="9"/>
    <x v="13"/>
    <n v="26200000"/>
  </r>
  <r>
    <n v="17"/>
    <s v="한우석"/>
    <s v="남"/>
    <s v="과장"/>
    <x v="2"/>
    <x v="1"/>
    <s v="SEZ"/>
    <x v="10"/>
    <x v="14"/>
    <n v="5250000"/>
  </r>
  <r>
    <n v="18"/>
    <s v="김소훈"/>
    <s v="여"/>
    <s v="과장"/>
    <x v="1"/>
    <x v="1"/>
    <s v="SEV"/>
    <x v="9"/>
    <x v="15"/>
    <n v="2400000"/>
  </r>
  <r>
    <n v="19"/>
    <s v="원성현"/>
    <s v="남"/>
    <s v="과장"/>
    <x v="1"/>
    <x v="1"/>
    <s v="TST"/>
    <x v="11"/>
    <x v="12"/>
    <n v="1230000"/>
  </r>
  <r>
    <n v="20"/>
    <s v="박슬기"/>
    <s v="여"/>
    <s v="대리"/>
    <x v="2"/>
    <x v="4"/>
    <s v="SVT"/>
    <x v="12"/>
    <x v="16"/>
    <n v="23400000"/>
  </r>
  <r>
    <n v="21"/>
    <s v="안정훈"/>
    <s v="남"/>
    <s v="과장"/>
    <x v="1"/>
    <x v="0"/>
    <s v="SVT"/>
    <x v="10"/>
    <x v="17"/>
    <n v="2340000"/>
  </r>
  <r>
    <n v="22"/>
    <s v="최준기"/>
    <s v="남"/>
    <s v="과장"/>
    <x v="1"/>
    <x v="2"/>
    <s v="SVT"/>
    <x v="13"/>
    <x v="18"/>
    <n v="36000000"/>
  </r>
  <r>
    <n v="23"/>
    <s v="이한구"/>
    <s v="남"/>
    <s v="부장"/>
    <x v="0"/>
    <x v="4"/>
    <s v="SEZ"/>
    <x v="9"/>
    <x v="12"/>
    <n v="24500000"/>
  </r>
  <r>
    <n v="24"/>
    <s v="최소라"/>
    <s v="여"/>
    <s v="부장"/>
    <x v="0"/>
    <x v="4"/>
    <s v="SVT"/>
    <x v="14"/>
    <x v="19"/>
    <n v="2450000"/>
  </r>
  <r>
    <n v="25"/>
    <s v="김은정"/>
    <s v="여"/>
    <s v="차장"/>
    <x v="2"/>
    <x v="4"/>
    <s v="SEZ"/>
    <x v="15"/>
    <x v="20"/>
    <n v="12000000"/>
  </r>
  <r>
    <n v="26"/>
    <s v="원서준"/>
    <s v="남"/>
    <s v="부장"/>
    <x v="2"/>
    <x v="2"/>
    <s v="SEZ"/>
    <x v="16"/>
    <x v="21"/>
    <n v="6234000"/>
  </r>
  <r>
    <n v="27"/>
    <s v="채소연"/>
    <s v="여"/>
    <s v="부장"/>
    <x v="2"/>
    <x v="2"/>
    <s v="SEZ"/>
    <x v="17"/>
    <x v="1"/>
    <n v="5234000"/>
  </r>
  <r>
    <n v="28"/>
    <s v="정유진"/>
    <s v="여"/>
    <s v="과장"/>
    <x v="2"/>
    <x v="1"/>
    <s v="SEZ"/>
    <x v="17"/>
    <x v="22"/>
    <n v="53000000"/>
  </r>
  <r>
    <n v="29"/>
    <s v="홍길동"/>
    <s v="남"/>
    <s v="부장"/>
    <x v="0"/>
    <x v="1"/>
    <s v="SEZ"/>
    <x v="17"/>
    <x v="23"/>
    <n v="23000000"/>
  </r>
  <r>
    <n v="30"/>
    <s v="김기연"/>
    <s v="남"/>
    <s v="차장"/>
    <x v="2"/>
    <x v="3"/>
    <s v="TSO"/>
    <x v="14"/>
    <x v="12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C46F8-0F14-43AF-A657-A81344F17518}" name="피벗 테이블6" cacheId="102" applyNumberFormats="0" applyBorderFormats="0" applyFontFormats="0" applyPatternFormats="0" applyAlignmentFormats="0" applyWidthHeightFormats="1" dataCaption="값" updatedVersion="8" minRefreshableVersion="3" showDrill="0" useAutoFormatting="1" itemPrintTitles="1" createdVersion="8" indent="0" compact="0" compactData="0" multipleFieldFilters="0">
  <location ref="A5:G17" firstHeaderRow="1" firstDataRow="3" firstDataCol="1"/>
  <pivotFields count="1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8">
        <item x="16"/>
        <item x="17"/>
        <item x="14"/>
        <item x="15"/>
        <item x="11"/>
        <item x="12"/>
        <item x="9"/>
        <item x="10"/>
        <item x="13"/>
        <item x="7"/>
        <item x="8"/>
        <item x="6"/>
        <item x="5"/>
        <item x="4"/>
        <item x="3"/>
        <item x="2"/>
        <item x="0"/>
        <item x="1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 defaultSubtotal="0"/>
    <pivotField axis="axisCol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10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Fields count="2">
    <field x="11"/>
    <field x="10"/>
  </colFields>
  <colItems count="6">
    <i>
      <x v="1"/>
      <x v="2"/>
    </i>
    <i>
      <x v="2"/>
      <x v="4"/>
    </i>
    <i r="1">
      <x v="5"/>
    </i>
    <i r="1">
      <x v="6"/>
    </i>
    <i>
      <x v="3"/>
      <x v="7"/>
    </i>
    <i t="grand">
      <x/>
    </i>
  </colItems>
  <dataFields count="1">
    <dataField name="합계 :  영업실적" fld="9" baseField="0" baseItem="0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87AD-9E6E-40FC-BAD0-614E1FF068DE}">
  <dimension ref="A5:G17"/>
  <sheetViews>
    <sheetView tabSelected="1" workbookViewId="0">
      <selection activeCell="A8" sqref="A8"/>
    </sheetView>
  </sheetViews>
  <sheetFormatPr defaultRowHeight="17"/>
  <cols>
    <col min="1" max="1" width="15.1640625" bestFit="1" customWidth="1"/>
    <col min="2" max="6" width="13.75" bestFit="1" customWidth="1"/>
    <col min="7" max="7" width="11.1640625" bestFit="1" customWidth="1"/>
    <col min="8" max="8" width="10" bestFit="1" customWidth="1"/>
    <col min="9" max="9" width="12.1640625" bestFit="1" customWidth="1"/>
    <col min="10" max="20" width="11.1640625" bestFit="1" customWidth="1"/>
    <col min="21" max="21" width="15.4140625" bestFit="1" customWidth="1"/>
    <col min="22" max="22" width="10.75" bestFit="1" customWidth="1"/>
    <col min="23" max="23" width="15.4140625" bestFit="1" customWidth="1"/>
    <col min="24" max="24" width="10.75" bestFit="1" customWidth="1"/>
    <col min="25" max="25" width="15.4140625" bestFit="1" customWidth="1"/>
    <col min="26" max="26" width="10.75" bestFit="1" customWidth="1"/>
    <col min="27" max="27" width="15.4140625" bestFit="1" customWidth="1"/>
    <col min="28" max="28" width="10.75" bestFit="1" customWidth="1"/>
    <col min="29" max="29" width="15.4140625" bestFit="1" customWidth="1"/>
    <col min="30" max="30" width="10.75" bestFit="1" customWidth="1"/>
    <col min="31" max="31" width="15.4140625" bestFit="1" customWidth="1"/>
    <col min="32" max="32" width="10.75" bestFit="1" customWidth="1"/>
    <col min="33" max="33" width="15.4140625" bestFit="1" customWidth="1"/>
    <col min="34" max="34" width="10.75" bestFit="1" customWidth="1"/>
    <col min="35" max="35" width="15.4140625" bestFit="1" customWidth="1"/>
    <col min="36" max="36" width="10.75" bestFit="1" customWidth="1"/>
    <col min="37" max="37" width="15.4140625" bestFit="1" customWidth="1"/>
    <col min="38" max="38" width="6.6640625" bestFit="1" customWidth="1"/>
  </cols>
  <sheetData>
    <row r="5" spans="1:7">
      <c r="A5" s="20" t="s">
        <v>63</v>
      </c>
      <c r="B5" s="20" t="s">
        <v>80</v>
      </c>
      <c r="C5" s="20" t="s">
        <v>74</v>
      </c>
    </row>
    <row r="6" spans="1:7">
      <c r="B6" t="s">
        <v>81</v>
      </c>
      <c r="C6" t="s">
        <v>82</v>
      </c>
      <c r="F6" t="s">
        <v>83</v>
      </c>
      <c r="G6" t="s">
        <v>61</v>
      </c>
    </row>
    <row r="7" spans="1:7">
      <c r="A7" s="20" t="s">
        <v>64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</row>
    <row r="8" spans="1:7">
      <c r="A8" t="s">
        <v>65</v>
      </c>
      <c r="B8" s="21">
        <v>45000000</v>
      </c>
      <c r="C8" s="21">
        <v>25730000</v>
      </c>
      <c r="D8" s="21">
        <v>3400000</v>
      </c>
      <c r="E8" s="21">
        <v>36000000</v>
      </c>
      <c r="F8" s="21"/>
      <c r="G8" s="21">
        <v>110130000</v>
      </c>
    </row>
    <row r="9" spans="1:7">
      <c r="A9" t="s">
        <v>66</v>
      </c>
      <c r="B9" s="21"/>
      <c r="C9" s="21">
        <v>2400000</v>
      </c>
      <c r="D9" s="21">
        <v>86500000</v>
      </c>
      <c r="E9" s="21"/>
      <c r="F9" s="21">
        <v>34000000</v>
      </c>
      <c r="G9" s="21">
        <v>122900000</v>
      </c>
    </row>
    <row r="10" spans="1:7">
      <c r="A10" t="s">
        <v>67</v>
      </c>
      <c r="B10" s="21">
        <v>7684000</v>
      </c>
      <c r="C10" s="21">
        <v>25740000</v>
      </c>
      <c r="D10" s="21">
        <v>57400000</v>
      </c>
      <c r="E10" s="21"/>
      <c r="F10" s="21">
        <v>3400000</v>
      </c>
      <c r="G10" s="21">
        <v>94224000</v>
      </c>
    </row>
    <row r="11" spans="1:7">
      <c r="A11" t="s">
        <v>68</v>
      </c>
      <c r="B11" s="21">
        <v>12000000</v>
      </c>
      <c r="C11" s="21"/>
      <c r="D11" s="21"/>
      <c r="E11" s="21">
        <v>3245000</v>
      </c>
      <c r="F11" s="21"/>
      <c r="G11" s="21">
        <v>15245000</v>
      </c>
    </row>
    <row r="12" spans="1:7">
      <c r="A12" t="s">
        <v>69</v>
      </c>
      <c r="B12" s="21"/>
      <c r="C12" s="21">
        <v>26200000</v>
      </c>
      <c r="D12" s="21">
        <v>47000000</v>
      </c>
      <c r="E12" s="21"/>
      <c r="F12" s="21">
        <v>23000000</v>
      </c>
      <c r="G12" s="21">
        <v>96200000</v>
      </c>
    </row>
    <row r="13" spans="1:7">
      <c r="A13" t="s">
        <v>70</v>
      </c>
      <c r="B13" s="21">
        <v>53000000</v>
      </c>
      <c r="C13" s="21">
        <v>36000000</v>
      </c>
      <c r="D13" s="21">
        <v>45000000</v>
      </c>
      <c r="E13" s="21"/>
      <c r="F13" s="21"/>
      <c r="G13" s="21">
        <v>134000000</v>
      </c>
    </row>
    <row r="14" spans="1:7">
      <c r="A14" t="s">
        <v>71</v>
      </c>
      <c r="B14" s="21"/>
      <c r="C14" s="21"/>
      <c r="D14" s="21"/>
      <c r="E14" s="21">
        <v>53000000</v>
      </c>
      <c r="F14" s="21">
        <v>5300000</v>
      </c>
      <c r="G14" s="21">
        <v>58300000</v>
      </c>
    </row>
    <row r="15" spans="1:7">
      <c r="A15" t="s">
        <v>72</v>
      </c>
      <c r="B15" s="21">
        <v>23000000</v>
      </c>
      <c r="C15" s="21">
        <v>5250000</v>
      </c>
      <c r="D15" s="21"/>
      <c r="E15" s="21"/>
      <c r="F15" s="21"/>
      <c r="G15" s="21">
        <v>28250000</v>
      </c>
    </row>
    <row r="16" spans="1:7">
      <c r="A16" t="s">
        <v>73</v>
      </c>
      <c r="B16" s="21">
        <v>6234000</v>
      </c>
      <c r="C16" s="21"/>
      <c r="D16" s="21"/>
      <c r="E16" s="21"/>
      <c r="F16" s="21"/>
      <c r="G16" s="21">
        <v>6234000</v>
      </c>
    </row>
    <row r="17" spans="1:7">
      <c r="A17" t="s">
        <v>61</v>
      </c>
      <c r="B17" s="21">
        <v>146918000</v>
      </c>
      <c r="C17" s="21">
        <v>121320000</v>
      </c>
      <c r="D17" s="21">
        <v>239300000</v>
      </c>
      <c r="E17" s="21">
        <v>92245000</v>
      </c>
      <c r="F17" s="21">
        <v>65700000</v>
      </c>
      <c r="G17" s="21">
        <v>665483000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J31"/>
  <sheetViews>
    <sheetView showGridLines="0" workbookViewId="0">
      <selection activeCell="H1" sqref="H1"/>
    </sheetView>
  </sheetViews>
  <sheetFormatPr defaultColWidth="9" defaultRowHeight="17"/>
  <cols>
    <col min="1" max="1" width="5.5" style="1" customWidth="1"/>
    <col min="2" max="2" width="10.25" style="1" customWidth="1"/>
    <col min="3" max="3" width="5.58203125" style="1" customWidth="1"/>
    <col min="4" max="4" width="6.75" style="1" customWidth="1"/>
    <col min="5" max="5" width="9.25" style="1" bestFit="1" customWidth="1"/>
    <col min="6" max="6" width="8.5" style="1" customWidth="1"/>
    <col min="7" max="7" width="8.25" style="10" customWidth="1"/>
    <col min="8" max="8" width="11.08203125" style="13" bestFit="1" customWidth="1"/>
    <col min="9" max="9" width="10.83203125" style="11" bestFit="1" customWidth="1"/>
    <col min="10" max="10" width="13" style="12" bestFit="1" customWidth="1"/>
    <col min="11" max="16384" width="9" style="6"/>
  </cols>
  <sheetData>
    <row r="1" spans="1:10" s="1" customFormat="1" ht="21" customHeight="1">
      <c r="A1" s="15" t="s">
        <v>57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7" t="s">
        <v>62</v>
      </c>
      <c r="I1" s="18" t="s">
        <v>6</v>
      </c>
      <c r="J1" s="19" t="s">
        <v>7</v>
      </c>
    </row>
    <row r="2" spans="1:10">
      <c r="A2" s="2">
        <v>1</v>
      </c>
      <c r="B2" s="14" t="s">
        <v>41</v>
      </c>
      <c r="C2" s="3" t="s">
        <v>8</v>
      </c>
      <c r="D2" s="3" t="s">
        <v>13</v>
      </c>
      <c r="E2" s="3" t="s">
        <v>27</v>
      </c>
      <c r="F2" s="3" t="s">
        <v>58</v>
      </c>
      <c r="G2" s="3" t="s">
        <v>14</v>
      </c>
      <c r="H2" s="22">
        <v>45852</v>
      </c>
      <c r="I2" s="4">
        <v>40000</v>
      </c>
      <c r="J2" s="5">
        <v>23000000</v>
      </c>
    </row>
    <row r="3" spans="1:10">
      <c r="A3" s="2">
        <v>2</v>
      </c>
      <c r="B3" s="14" t="s">
        <v>18</v>
      </c>
      <c r="C3" s="3" t="s">
        <v>8</v>
      </c>
      <c r="D3" s="3" t="s">
        <v>9</v>
      </c>
      <c r="E3" s="3" t="s">
        <v>27</v>
      </c>
      <c r="F3" s="3" t="s">
        <v>20</v>
      </c>
      <c r="G3" s="3" t="s">
        <v>38</v>
      </c>
      <c r="H3" s="22">
        <v>45858</v>
      </c>
      <c r="I3" s="4">
        <v>20000</v>
      </c>
      <c r="J3" s="5">
        <v>3400000</v>
      </c>
    </row>
    <row r="4" spans="1:10">
      <c r="A4" s="2">
        <v>3</v>
      </c>
      <c r="B4" s="14" t="s">
        <v>42</v>
      </c>
      <c r="C4" s="3" t="s">
        <v>12</v>
      </c>
      <c r="D4" s="3" t="s">
        <v>9</v>
      </c>
      <c r="E4" s="3" t="s">
        <v>27</v>
      </c>
      <c r="F4" s="3" t="s">
        <v>20</v>
      </c>
      <c r="G4" s="3" t="s">
        <v>34</v>
      </c>
      <c r="H4" s="22">
        <v>45851</v>
      </c>
      <c r="I4" s="4">
        <v>12000</v>
      </c>
      <c r="J4" s="5">
        <v>34000000</v>
      </c>
    </row>
    <row r="5" spans="1:10">
      <c r="A5" s="2">
        <v>4</v>
      </c>
      <c r="B5" s="14" t="s">
        <v>43</v>
      </c>
      <c r="C5" s="3" t="s">
        <v>12</v>
      </c>
      <c r="D5" s="3" t="s">
        <v>9</v>
      </c>
      <c r="E5" s="3" t="s">
        <v>27</v>
      </c>
      <c r="F5" s="3" t="s">
        <v>59</v>
      </c>
      <c r="G5" s="3" t="s">
        <v>10</v>
      </c>
      <c r="H5" s="22">
        <v>45838</v>
      </c>
      <c r="I5" s="4">
        <v>77000</v>
      </c>
      <c r="J5" s="5">
        <v>53000000</v>
      </c>
    </row>
    <row r="6" spans="1:10">
      <c r="A6" s="2">
        <v>5</v>
      </c>
      <c r="B6" s="14" t="s">
        <v>44</v>
      </c>
      <c r="C6" s="3" t="s">
        <v>8</v>
      </c>
      <c r="D6" s="3" t="s">
        <v>13</v>
      </c>
      <c r="E6" s="3" t="s">
        <v>21</v>
      </c>
      <c r="F6" s="3" t="s">
        <v>59</v>
      </c>
      <c r="G6" s="3" t="s">
        <v>34</v>
      </c>
      <c r="H6" s="22">
        <v>45852</v>
      </c>
      <c r="I6" s="4">
        <v>76000</v>
      </c>
      <c r="J6" s="5">
        <v>5300000</v>
      </c>
    </row>
    <row r="7" spans="1:10">
      <c r="A7" s="2">
        <v>6</v>
      </c>
      <c r="B7" s="14" t="s">
        <v>22</v>
      </c>
      <c r="C7" s="3" t="s">
        <v>8</v>
      </c>
      <c r="D7" s="3" t="s">
        <v>9</v>
      </c>
      <c r="E7" s="3" t="s">
        <v>21</v>
      </c>
      <c r="F7" s="3" t="s">
        <v>59</v>
      </c>
      <c r="G7" s="3" t="s">
        <v>10</v>
      </c>
      <c r="H7" s="22">
        <v>45818</v>
      </c>
      <c r="I7" s="4">
        <v>33000</v>
      </c>
      <c r="J7" s="5">
        <v>3245000</v>
      </c>
    </row>
    <row r="8" spans="1:10">
      <c r="A8" s="2">
        <v>7</v>
      </c>
      <c r="B8" s="14" t="s">
        <v>15</v>
      </c>
      <c r="C8" s="3" t="s">
        <v>12</v>
      </c>
      <c r="D8" s="3" t="s">
        <v>9</v>
      </c>
      <c r="E8" s="3" t="s">
        <v>21</v>
      </c>
      <c r="F8" s="3" t="s">
        <v>20</v>
      </c>
      <c r="G8" s="3" t="s">
        <v>25</v>
      </c>
      <c r="H8" s="22">
        <v>45816</v>
      </c>
      <c r="I8" s="4">
        <v>8000</v>
      </c>
      <c r="J8" s="5">
        <v>36000000</v>
      </c>
    </row>
    <row r="9" spans="1:10">
      <c r="A9" s="2">
        <v>8</v>
      </c>
      <c r="B9" s="14" t="s">
        <v>26</v>
      </c>
      <c r="C9" s="3" t="s">
        <v>12</v>
      </c>
      <c r="D9" s="3" t="s">
        <v>13</v>
      </c>
      <c r="E9" s="3" t="s">
        <v>27</v>
      </c>
      <c r="F9" s="3" t="s">
        <v>17</v>
      </c>
      <c r="G9" s="3" t="s">
        <v>25</v>
      </c>
      <c r="H9" s="22">
        <v>45806</v>
      </c>
      <c r="I9" s="4">
        <v>45000</v>
      </c>
      <c r="J9" s="5">
        <v>13000000</v>
      </c>
    </row>
    <row r="10" spans="1:10">
      <c r="A10" s="2">
        <v>9</v>
      </c>
      <c r="B10" s="14" t="s">
        <v>45</v>
      </c>
      <c r="C10" s="3" t="s">
        <v>8</v>
      </c>
      <c r="D10" s="3" t="s">
        <v>9</v>
      </c>
      <c r="E10" s="3" t="s">
        <v>21</v>
      </c>
      <c r="F10" s="3" t="s">
        <v>58</v>
      </c>
      <c r="G10" s="3" t="s">
        <v>10</v>
      </c>
      <c r="H10" s="22">
        <v>45806</v>
      </c>
      <c r="I10" s="4">
        <v>13600</v>
      </c>
      <c r="J10" s="5">
        <v>53000000</v>
      </c>
    </row>
    <row r="11" spans="1:10">
      <c r="A11" s="2">
        <v>10</v>
      </c>
      <c r="B11" s="14" t="s">
        <v>46</v>
      </c>
      <c r="C11" s="3" t="s">
        <v>8</v>
      </c>
      <c r="D11" s="3" t="s">
        <v>13</v>
      </c>
      <c r="E11" s="3" t="s">
        <v>21</v>
      </c>
      <c r="F11" s="3" t="s">
        <v>17</v>
      </c>
      <c r="G11" s="3" t="s">
        <v>10</v>
      </c>
      <c r="H11" s="22">
        <v>45798</v>
      </c>
      <c r="I11" s="4">
        <v>20000</v>
      </c>
      <c r="J11" s="5">
        <v>23400000</v>
      </c>
    </row>
    <row r="12" spans="1:10">
      <c r="A12" s="2">
        <v>11</v>
      </c>
      <c r="B12" s="14" t="s">
        <v>47</v>
      </c>
      <c r="C12" s="3" t="s">
        <v>8</v>
      </c>
      <c r="D12" s="3" t="s">
        <v>9</v>
      </c>
      <c r="E12" s="3" t="s">
        <v>27</v>
      </c>
      <c r="F12" s="3" t="s">
        <v>17</v>
      </c>
      <c r="G12" s="3" t="s">
        <v>25</v>
      </c>
      <c r="H12" s="22">
        <v>45806</v>
      </c>
      <c r="I12" s="4">
        <v>40000</v>
      </c>
      <c r="J12" s="5">
        <v>34000000</v>
      </c>
    </row>
    <row r="13" spans="1:10">
      <c r="A13" s="2">
        <v>12</v>
      </c>
      <c r="B13" s="14" t="s">
        <v>48</v>
      </c>
      <c r="C13" s="3" t="s">
        <v>8</v>
      </c>
      <c r="D13" s="3" t="s">
        <v>13</v>
      </c>
      <c r="E13" s="3" t="s">
        <v>16</v>
      </c>
      <c r="F13" s="3" t="s">
        <v>58</v>
      </c>
      <c r="G13" s="3" t="s">
        <v>34</v>
      </c>
      <c r="H13" s="22">
        <v>45806</v>
      </c>
      <c r="I13" s="4">
        <v>23000</v>
      </c>
      <c r="J13" s="5">
        <v>34000000</v>
      </c>
    </row>
    <row r="14" spans="1:10">
      <c r="A14" s="2">
        <v>13</v>
      </c>
      <c r="B14" s="14" t="s">
        <v>49</v>
      </c>
      <c r="C14" s="3" t="s">
        <v>8</v>
      </c>
      <c r="D14" s="3" t="s">
        <v>13</v>
      </c>
      <c r="E14" s="3" t="s">
        <v>16</v>
      </c>
      <c r="F14" s="3" t="s">
        <v>17</v>
      </c>
      <c r="G14" s="3" t="s">
        <v>14</v>
      </c>
      <c r="H14" s="22">
        <v>45804</v>
      </c>
      <c r="I14" s="4">
        <v>50000</v>
      </c>
      <c r="J14" s="5">
        <v>45000000</v>
      </c>
    </row>
    <row r="15" spans="1:10">
      <c r="A15" s="2">
        <v>14</v>
      </c>
      <c r="B15" s="14" t="s">
        <v>50</v>
      </c>
      <c r="C15" s="3" t="s">
        <v>12</v>
      </c>
      <c r="D15" s="3" t="s">
        <v>13</v>
      </c>
      <c r="E15" s="3" t="s">
        <v>16</v>
      </c>
      <c r="F15" s="3" t="s">
        <v>17</v>
      </c>
      <c r="G15" s="3" t="s">
        <v>10</v>
      </c>
      <c r="H15" s="22">
        <v>45806</v>
      </c>
      <c r="I15" s="4">
        <v>11200</v>
      </c>
      <c r="J15" s="5">
        <v>33500000</v>
      </c>
    </row>
    <row r="16" spans="1:10">
      <c r="A16" s="2">
        <v>15</v>
      </c>
      <c r="B16" s="14" t="s">
        <v>11</v>
      </c>
      <c r="C16" s="3" t="s">
        <v>12</v>
      </c>
      <c r="D16" s="3" t="s">
        <v>9</v>
      </c>
      <c r="E16" s="3" t="s">
        <v>16</v>
      </c>
      <c r="F16" s="3" t="s">
        <v>58</v>
      </c>
      <c r="G16" s="3" t="s">
        <v>10</v>
      </c>
      <c r="H16" s="22">
        <v>45806</v>
      </c>
      <c r="I16" s="4">
        <v>4000</v>
      </c>
      <c r="J16" s="5">
        <v>3400000</v>
      </c>
    </row>
    <row r="17" spans="1:10">
      <c r="A17" s="2">
        <v>16</v>
      </c>
      <c r="B17" s="14" t="s">
        <v>51</v>
      </c>
      <c r="C17" s="3" t="s">
        <v>8</v>
      </c>
      <c r="D17" s="3" t="s">
        <v>19</v>
      </c>
      <c r="E17" s="3" t="s">
        <v>16</v>
      </c>
      <c r="F17" s="3" t="s">
        <v>20</v>
      </c>
      <c r="G17" s="3" t="s">
        <v>10</v>
      </c>
      <c r="H17" s="22">
        <v>45756</v>
      </c>
      <c r="I17" s="4">
        <v>41200</v>
      </c>
      <c r="J17" s="5">
        <v>26200000</v>
      </c>
    </row>
    <row r="18" spans="1:10">
      <c r="A18" s="2">
        <v>17</v>
      </c>
      <c r="B18" s="14" t="s">
        <v>52</v>
      </c>
      <c r="C18" s="3" t="s">
        <v>12</v>
      </c>
      <c r="D18" s="3" t="s">
        <v>19</v>
      </c>
      <c r="E18" s="3" t="s">
        <v>16</v>
      </c>
      <c r="F18" s="3" t="s">
        <v>20</v>
      </c>
      <c r="G18" s="3" t="s">
        <v>10</v>
      </c>
      <c r="H18" s="22">
        <v>45762</v>
      </c>
      <c r="I18" s="4">
        <v>80000</v>
      </c>
      <c r="J18" s="5">
        <v>5250000</v>
      </c>
    </row>
    <row r="19" spans="1:10">
      <c r="A19" s="2">
        <v>18</v>
      </c>
      <c r="B19" s="14" t="s">
        <v>53</v>
      </c>
      <c r="C19" s="3" t="s">
        <v>8</v>
      </c>
      <c r="D19" s="3" t="s">
        <v>19</v>
      </c>
      <c r="E19" s="3" t="s">
        <v>21</v>
      </c>
      <c r="F19" s="3" t="s">
        <v>20</v>
      </c>
      <c r="G19" s="3" t="s">
        <v>14</v>
      </c>
      <c r="H19" s="22">
        <v>45756</v>
      </c>
      <c r="I19" s="4">
        <v>10000</v>
      </c>
      <c r="J19" s="5">
        <v>2400000</v>
      </c>
    </row>
    <row r="20" spans="1:10">
      <c r="A20" s="2">
        <v>19</v>
      </c>
      <c r="B20" s="3" t="s">
        <v>54</v>
      </c>
      <c r="C20" s="3" t="s">
        <v>12</v>
      </c>
      <c r="D20" s="3" t="s">
        <v>19</v>
      </c>
      <c r="E20" s="3" t="s">
        <v>21</v>
      </c>
      <c r="F20" s="3" t="s">
        <v>20</v>
      </c>
      <c r="G20" s="3" t="s">
        <v>31</v>
      </c>
      <c r="H20" s="22">
        <v>45748</v>
      </c>
      <c r="I20" s="4">
        <v>4000</v>
      </c>
      <c r="J20" s="5">
        <v>1230000</v>
      </c>
    </row>
    <row r="21" spans="1:10">
      <c r="A21" s="2">
        <v>20</v>
      </c>
      <c r="B21" s="3" t="s">
        <v>37</v>
      </c>
      <c r="C21" s="3" t="s">
        <v>8</v>
      </c>
      <c r="D21" s="3" t="s">
        <v>13</v>
      </c>
      <c r="E21" s="3" t="s">
        <v>16</v>
      </c>
      <c r="F21" s="3" t="s">
        <v>60</v>
      </c>
      <c r="G21" s="3" t="s">
        <v>34</v>
      </c>
      <c r="H21" s="22">
        <v>45754</v>
      </c>
      <c r="I21" s="4">
        <v>24000</v>
      </c>
      <c r="J21" s="5">
        <v>23400000</v>
      </c>
    </row>
    <row r="22" spans="1:10">
      <c r="A22" s="2">
        <v>21</v>
      </c>
      <c r="B22" s="3" t="s">
        <v>35</v>
      </c>
      <c r="C22" s="3" t="s">
        <v>12</v>
      </c>
      <c r="D22" s="3" t="s">
        <v>19</v>
      </c>
      <c r="E22" s="3" t="s">
        <v>21</v>
      </c>
      <c r="F22" s="3" t="s">
        <v>58</v>
      </c>
      <c r="G22" s="3" t="s">
        <v>34</v>
      </c>
      <c r="H22" s="22">
        <v>45762</v>
      </c>
      <c r="I22" s="4">
        <v>26400</v>
      </c>
      <c r="J22" s="5">
        <v>2340000</v>
      </c>
    </row>
    <row r="23" spans="1:10">
      <c r="A23" s="2">
        <v>22</v>
      </c>
      <c r="B23" s="3" t="s">
        <v>36</v>
      </c>
      <c r="C23" s="3" t="s">
        <v>12</v>
      </c>
      <c r="D23" s="3" t="s">
        <v>19</v>
      </c>
      <c r="E23" s="3" t="s">
        <v>21</v>
      </c>
      <c r="F23" s="3" t="s">
        <v>59</v>
      </c>
      <c r="G23" s="3" t="s">
        <v>34</v>
      </c>
      <c r="H23" s="22">
        <v>45766</v>
      </c>
      <c r="I23" s="4">
        <v>55000</v>
      </c>
      <c r="J23" s="5">
        <v>36000000</v>
      </c>
    </row>
    <row r="24" spans="1:10">
      <c r="A24" s="2">
        <v>23</v>
      </c>
      <c r="B24" s="3" t="s">
        <v>28</v>
      </c>
      <c r="C24" s="3" t="s">
        <v>12</v>
      </c>
      <c r="D24" s="3" t="s">
        <v>29</v>
      </c>
      <c r="E24" s="3" t="s">
        <v>27</v>
      </c>
      <c r="F24" s="3" t="s">
        <v>60</v>
      </c>
      <c r="G24" s="3" t="s">
        <v>10</v>
      </c>
      <c r="H24" s="22">
        <v>45756</v>
      </c>
      <c r="I24" s="4">
        <v>4000</v>
      </c>
      <c r="J24" s="5">
        <v>24500000</v>
      </c>
    </row>
    <row r="25" spans="1:10">
      <c r="A25" s="2">
        <v>24</v>
      </c>
      <c r="B25" s="3" t="s">
        <v>40</v>
      </c>
      <c r="C25" s="3" t="s">
        <v>8</v>
      </c>
      <c r="D25" s="3" t="s">
        <v>29</v>
      </c>
      <c r="E25" s="3" t="s">
        <v>27</v>
      </c>
      <c r="F25" s="3" t="s">
        <v>60</v>
      </c>
      <c r="G25" s="3" t="s">
        <v>34</v>
      </c>
      <c r="H25" s="22">
        <v>45713</v>
      </c>
      <c r="I25" s="4">
        <v>25000</v>
      </c>
      <c r="J25" s="5">
        <v>2450000</v>
      </c>
    </row>
    <row r="26" spans="1:10">
      <c r="A26" s="2">
        <v>25</v>
      </c>
      <c r="B26" s="3" t="s">
        <v>55</v>
      </c>
      <c r="C26" s="3" t="s">
        <v>8</v>
      </c>
      <c r="D26" s="3" t="s">
        <v>33</v>
      </c>
      <c r="E26" s="3" t="s">
        <v>16</v>
      </c>
      <c r="F26" s="3" t="s">
        <v>60</v>
      </c>
      <c r="G26" s="3" t="s">
        <v>10</v>
      </c>
      <c r="H26" s="22">
        <v>45716</v>
      </c>
      <c r="I26" s="4">
        <v>36000</v>
      </c>
      <c r="J26" s="5">
        <v>12000000</v>
      </c>
    </row>
    <row r="27" spans="1:10">
      <c r="A27" s="2">
        <v>26</v>
      </c>
      <c r="B27" s="3" t="s">
        <v>56</v>
      </c>
      <c r="C27" s="3" t="s">
        <v>12</v>
      </c>
      <c r="D27" s="3" t="s">
        <v>29</v>
      </c>
      <c r="E27" s="3" t="s">
        <v>16</v>
      </c>
      <c r="F27" s="3" t="s">
        <v>59</v>
      </c>
      <c r="G27" s="3" t="s">
        <v>10</v>
      </c>
      <c r="H27" s="22">
        <v>45699</v>
      </c>
      <c r="I27" s="4">
        <v>93000</v>
      </c>
      <c r="J27" s="5">
        <v>6234000</v>
      </c>
    </row>
    <row r="28" spans="1:10">
      <c r="A28" s="2">
        <v>27</v>
      </c>
      <c r="B28" s="3" t="s">
        <v>32</v>
      </c>
      <c r="C28" s="3" t="s">
        <v>8</v>
      </c>
      <c r="D28" s="3" t="s">
        <v>29</v>
      </c>
      <c r="E28" s="3" t="s">
        <v>16</v>
      </c>
      <c r="F28" s="3" t="s">
        <v>59</v>
      </c>
      <c r="G28" s="3" t="s">
        <v>10</v>
      </c>
      <c r="H28" s="22">
        <v>45707</v>
      </c>
      <c r="I28" s="4">
        <v>20000</v>
      </c>
      <c r="J28" s="5">
        <v>5234000</v>
      </c>
    </row>
    <row r="29" spans="1:10">
      <c r="A29" s="2">
        <v>28</v>
      </c>
      <c r="B29" s="3" t="s">
        <v>30</v>
      </c>
      <c r="C29" s="3" t="s">
        <v>8</v>
      </c>
      <c r="D29" s="3" t="s">
        <v>19</v>
      </c>
      <c r="E29" s="3" t="s">
        <v>16</v>
      </c>
      <c r="F29" s="3" t="s">
        <v>20</v>
      </c>
      <c r="G29" s="3" t="s">
        <v>10</v>
      </c>
      <c r="H29" s="22">
        <v>45707</v>
      </c>
      <c r="I29" s="4">
        <v>59200</v>
      </c>
      <c r="J29" s="5">
        <v>53000000</v>
      </c>
    </row>
    <row r="30" spans="1:10">
      <c r="A30" s="2">
        <v>29</v>
      </c>
      <c r="B30" s="3" t="s">
        <v>39</v>
      </c>
      <c r="C30" s="3" t="s">
        <v>12</v>
      </c>
      <c r="D30" s="3" t="s">
        <v>29</v>
      </c>
      <c r="E30" s="3" t="s">
        <v>27</v>
      </c>
      <c r="F30" s="3" t="s">
        <v>20</v>
      </c>
      <c r="G30" s="3" t="s">
        <v>10</v>
      </c>
      <c r="H30" s="22">
        <v>45707</v>
      </c>
      <c r="I30" s="4">
        <v>82000</v>
      </c>
      <c r="J30" s="5">
        <v>23000000</v>
      </c>
    </row>
    <row r="31" spans="1:10">
      <c r="A31" s="2">
        <v>30</v>
      </c>
      <c r="B31" s="7" t="s">
        <v>23</v>
      </c>
      <c r="C31" s="7" t="s">
        <v>12</v>
      </c>
      <c r="D31" s="7" t="s">
        <v>24</v>
      </c>
      <c r="E31" s="3" t="s">
        <v>16</v>
      </c>
      <c r="F31" s="7" t="s">
        <v>17</v>
      </c>
      <c r="G31" s="7" t="s">
        <v>25</v>
      </c>
      <c r="H31" s="23">
        <v>45713</v>
      </c>
      <c r="I31" s="8">
        <v>4000</v>
      </c>
      <c r="J31" s="9">
        <v>45000000</v>
      </c>
    </row>
  </sheetData>
  <sortState xmlns:xlrd2="http://schemas.microsoft.com/office/spreadsheetml/2017/richdata2" ref="A2:J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2025-08-09T05:03:13Z</dcterms:modified>
</cp:coreProperties>
</file>
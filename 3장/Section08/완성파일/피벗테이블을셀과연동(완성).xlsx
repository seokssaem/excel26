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8\완성파일\"/>
    </mc:Choice>
  </mc:AlternateContent>
  <xr:revisionPtr revIDLastSave="0" documentId="13_ncr:1_{AE188474-4F02-4BD2-BB07-43C4EE345075}" xr6:coauthVersionLast="47" xr6:coauthVersionMax="47" xr10:uidLastSave="{00000000-0000-0000-0000-000000000000}"/>
  <bookViews>
    <workbookView xWindow="-120" yWindow="-120" windowWidth="29040" windowHeight="15720" activeTab="2" xr2:uid="{5529CEC1-FC16-4273-8661-647FA47F097D}"/>
  </bookViews>
  <sheets>
    <sheet name="Sheet1" sheetId="3" r:id="rId1"/>
    <sheet name="매출정보" sheetId="1" r:id="rId2"/>
    <sheet name="보고자료" sheetId="2" r:id="rId3"/>
  </sheets>
  <definedNames>
    <definedName name="_xlnm._FilterDatabase" localSheetId="1" hidden="1">매출정보!$A$1:$J$29</definedName>
    <definedName name="슬라이서_유형">#N/A</definedName>
    <definedName name="전체">OFFSET(매출정보!$A$1,0,0,COUNTA(매출정보!$A:$A),COUNTA(매출정보!$1:$1))</definedName>
  </definedNames>
  <calcPr calcId="191029"/>
  <pivotCaches>
    <pivotCache cacheId="1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C5" i="2"/>
  <c r="E5" i="2"/>
  <c r="E6" i="2"/>
  <c r="D7" i="2"/>
  <c r="E7" i="2"/>
  <c r="D8" i="2"/>
  <c r="E8" i="2"/>
  <c r="D9" i="2"/>
  <c r="E9" i="2"/>
  <c r="D6" i="2"/>
  <c r="C6" i="2"/>
  <c r="C9" i="2"/>
  <c r="C7" i="2"/>
  <c r="C8" i="2"/>
</calcChain>
</file>

<file path=xl/sharedStrings.xml><?xml version="1.0" encoding="utf-8"?>
<sst xmlns="http://schemas.openxmlformats.org/spreadsheetml/2006/main" count="224" uniqueCount="75">
  <si>
    <t>NO</t>
    <phoneticPr fontId="4" type="noConversion"/>
  </si>
  <si>
    <t>담당사원</t>
    <phoneticPr fontId="4" type="noConversion"/>
  </si>
  <si>
    <t>성별</t>
  </si>
  <si>
    <t>직위</t>
    <phoneticPr fontId="6" type="noConversion"/>
  </si>
  <si>
    <t>영업분야</t>
  </si>
  <si>
    <t>지역</t>
  </si>
  <si>
    <t>유형</t>
    <phoneticPr fontId="6" type="noConversion"/>
  </si>
  <si>
    <t>납품일</t>
    <phoneticPr fontId="4" type="noConversion"/>
  </si>
  <si>
    <t>납품수량</t>
    <phoneticPr fontId="6" type="noConversion"/>
  </si>
  <si>
    <t>한이경</t>
  </si>
  <si>
    <t>여</t>
    <phoneticPr fontId="4" type="noConversion"/>
  </si>
  <si>
    <t>대리</t>
  </si>
  <si>
    <t>영업관리</t>
  </si>
  <si>
    <t>광주</t>
    <phoneticPr fontId="4" type="noConversion"/>
  </si>
  <si>
    <t>SEV</t>
  </si>
  <si>
    <t>정수란</t>
  </si>
  <si>
    <t>사원</t>
  </si>
  <si>
    <t>부산</t>
  </si>
  <si>
    <t>SVI</t>
  </si>
  <si>
    <t>이시안</t>
  </si>
  <si>
    <t>컨설턴트</t>
  </si>
  <si>
    <t>SEZ</t>
  </si>
  <si>
    <t>최지영</t>
  </si>
  <si>
    <t>서울</t>
  </si>
  <si>
    <t>이성경</t>
  </si>
  <si>
    <t>TSO</t>
  </si>
  <si>
    <t>이경미</t>
  </si>
  <si>
    <t>국내영업</t>
  </si>
  <si>
    <t>SVT</t>
  </si>
  <si>
    <t>최소라</t>
    <phoneticPr fontId="4" type="noConversion"/>
  </si>
  <si>
    <t>부장</t>
  </si>
  <si>
    <t>대전</t>
    <phoneticPr fontId="4" type="noConversion"/>
  </si>
  <si>
    <t>김은정</t>
    <phoneticPr fontId="4" type="noConversion"/>
  </si>
  <si>
    <t>차장</t>
  </si>
  <si>
    <t>원서준</t>
    <phoneticPr fontId="4" type="noConversion"/>
  </si>
  <si>
    <t>남</t>
    <phoneticPr fontId="4" type="noConversion"/>
  </si>
  <si>
    <t>목포</t>
    <phoneticPr fontId="4" type="noConversion"/>
  </si>
  <si>
    <t>채소연</t>
  </si>
  <si>
    <t>정유진</t>
  </si>
  <si>
    <t>과장</t>
  </si>
  <si>
    <t>홍길동</t>
    <phoneticPr fontId="4" type="noConversion"/>
  </si>
  <si>
    <t>김기연</t>
  </si>
  <si>
    <t>차장</t>
    <phoneticPr fontId="4" type="noConversion"/>
  </si>
  <si>
    <t>국내영업</t>
    <phoneticPr fontId="4" type="noConversion"/>
  </si>
  <si>
    <t>김현정</t>
  </si>
  <si>
    <t>고숭녕</t>
  </si>
  <si>
    <t>조홍제</t>
  </si>
  <si>
    <t>박국희</t>
  </si>
  <si>
    <t>한우석</t>
  </si>
  <si>
    <t>박슬기</t>
    <phoneticPr fontId="4" type="noConversion"/>
  </si>
  <si>
    <t>안정훈</t>
  </si>
  <si>
    <t>최준기</t>
    <phoneticPr fontId="4" type="noConversion"/>
  </si>
  <si>
    <t>이한구</t>
  </si>
  <si>
    <t>오명근</t>
  </si>
  <si>
    <t>김형호</t>
  </si>
  <si>
    <t>이희훈</t>
  </si>
  <si>
    <t>고원지</t>
  </si>
  <si>
    <t>한재호</t>
  </si>
  <si>
    <t>조예준</t>
  </si>
  <si>
    <t>김소훈</t>
  </si>
  <si>
    <t>원성현</t>
    <phoneticPr fontId="4" type="noConversion"/>
  </si>
  <si>
    <t>TST</t>
  </si>
  <si>
    <t xml:space="preserve">분기 : </t>
    <phoneticPr fontId="4" type="noConversion"/>
  </si>
  <si>
    <t>제품 판매 실적 보고</t>
    <phoneticPr fontId="4" type="noConversion"/>
  </si>
  <si>
    <t>행 레이블</t>
  </si>
  <si>
    <t>총합계</t>
  </si>
  <si>
    <t>열 레이블</t>
  </si>
  <si>
    <t>광주</t>
  </si>
  <si>
    <t>목포</t>
  </si>
  <si>
    <t>대전</t>
  </si>
  <si>
    <t>1사분기</t>
  </si>
  <si>
    <t>2사분기</t>
  </si>
  <si>
    <t>3사분기</t>
  </si>
  <si>
    <t>영업실적</t>
    <phoneticPr fontId="4" type="noConversion"/>
  </si>
  <si>
    <t>합계 : 영업실적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</si>
</sst>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6"/>
      <color theme="1"/>
      <name val="HY중고딕"/>
      <family val="1"/>
      <charset val="129"/>
    </font>
    <font>
      <b/>
      <sz val="16"/>
      <color theme="1" tint="0.34998626667073579"/>
      <name val="HY중고딕"/>
      <family val="1"/>
      <charset val="129"/>
    </font>
    <font>
      <b/>
      <sz val="11"/>
      <color theme="1" tint="0.3499862666707357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7"/>
      </patternFill>
    </fill>
    <fill>
      <patternFill patternType="solid">
        <fgColor theme="4" tint="0.39997558519241921"/>
        <bgColor theme="6"/>
      </patternFill>
    </fill>
  </fills>
  <borders count="7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double">
        <color theme="4" tint="0.39994506668294322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0" fontId="8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41" fontId="8" fillId="0" borderId="0" xfId="1" applyFont="1">
      <alignment vertical="center"/>
    </xf>
    <xf numFmtId="41" fontId="7" fillId="0" borderId="0" xfId="1" applyFont="1">
      <alignment vertical="center"/>
    </xf>
    <xf numFmtId="0" fontId="0" fillId="0" borderId="4" xfId="0" applyBorder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Continuous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41" fontId="5" fillId="2" borderId="0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2">
    <cellStyle name="쉼표 [0]" xfId="1" builtinId="6"/>
    <cellStyle name="표준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numFmt numFmtId="19" formatCode="yyyy/mm/dd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맑은 고딕"/>
        <family val="3"/>
        <charset val="129"/>
        <scheme val="minor"/>
      </font>
      <fill>
        <patternFill patternType="solid">
          <fgColor theme="7"/>
          <bgColor theme="5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215900</xdr:rowOff>
    </xdr:from>
    <xdr:to>
      <xdr:col>0</xdr:col>
      <xdr:colOff>1905000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유형">
              <a:extLst>
                <a:ext uri="{FF2B5EF4-FFF2-40B4-BE49-F238E27FC236}">
                  <a16:creationId xmlns:a16="http://schemas.microsoft.com/office/drawing/2014/main" id="{30DE3838-C3F5-4AC1-A5EE-D8949F4982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유형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215900"/>
              <a:ext cx="1828800" cy="233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9.066083680555" createdVersion="8" refreshedVersion="8" minRefreshableVersion="3" recordCount="30" xr:uid="{1D36E48C-7050-4984-8705-D37434553026}">
  <cacheSource type="worksheet">
    <worksheetSource name="데이터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/>
    </cacheField>
    <cacheField name="직위" numFmtId="0">
      <sharedItems/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 count="6">
        <s v="SEV"/>
        <s v="SVI"/>
        <s v="SEZ"/>
        <s v="TSO"/>
        <s v="SVT"/>
        <s v="TST"/>
      </sharedItems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5-29T00:00:00"/>
        <d v="2025-05-21T00:00:00"/>
        <d v="2025-02-25T00:00:00"/>
        <d v="2025-02-28T00:00:00"/>
        <d v="2025-02-11T00:00:00"/>
        <d v="2025-02-19T00:00:00"/>
        <d v="2025-05-27T00:00:00"/>
        <d v="2025-04-09T00:00:00"/>
        <d v="2025-04-15T00:00:00"/>
        <d v="2025-04-07T00:00:00"/>
        <d v="2025-04-19T00:00:00"/>
        <d v="2025-07-13T00:00:00"/>
        <d v="2025-06-30T00:00:00"/>
        <d v="2025-06-10T00:00:00"/>
        <d v="2025-06-08T00:00:00"/>
        <d v="2025-04-01T00:00:00"/>
      </sharedItems>
      <fieldGroup par="10"/>
    </cacheField>
    <cacheField name="납품수량" numFmtId="41">
      <sharedItems containsSemiMixedTypes="0" containsString="0" containsNumber="1" containsInteger="1" minValue="4000" maxValue="93000"/>
    </cacheField>
    <cacheField name="영업실적" numFmtId="41">
      <sharedItems containsSemiMixedTypes="0" containsString="0" containsNumber="1" containsInteger="1" minValue="1230000" maxValue="53000000"/>
    </cacheField>
    <cacheField name="분기(납품일)" numFmtId="0" databaseField="0">
      <fieldGroup base="7">
        <rangePr groupBy="quarters" startDate="2025-02-11T00:00:00" endDate="2025-07-21T00:00:00"/>
        <groupItems count="6">
          <s v="&lt;2025-02-11"/>
          <s v="1사분기"/>
          <s v="2사분기"/>
          <s v="3사분기"/>
          <s v="4사분기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 pivotCacheId="20411732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s v="대리"/>
    <x v="0"/>
    <x v="0"/>
    <x v="0"/>
    <x v="0"/>
    <n v="40000"/>
    <n v="23000000"/>
  </r>
  <r>
    <n v="2"/>
    <s v="정수란"/>
    <s v="여"/>
    <s v="사원"/>
    <x v="0"/>
    <x v="1"/>
    <x v="1"/>
    <x v="1"/>
    <n v="20000"/>
    <n v="3400000"/>
  </r>
  <r>
    <n v="3"/>
    <s v="이시안"/>
    <s v="여"/>
    <s v="사원"/>
    <x v="1"/>
    <x v="0"/>
    <x v="2"/>
    <x v="2"/>
    <n v="13600"/>
    <n v="53000000"/>
  </r>
  <r>
    <n v="4"/>
    <s v="최지영"/>
    <s v="여"/>
    <s v="대리"/>
    <x v="1"/>
    <x v="2"/>
    <x v="2"/>
    <x v="3"/>
    <n v="20000"/>
    <n v="23400000"/>
  </r>
  <r>
    <n v="5"/>
    <s v="이성경"/>
    <s v="여"/>
    <s v="사원"/>
    <x v="0"/>
    <x v="2"/>
    <x v="3"/>
    <x v="2"/>
    <n v="40000"/>
    <n v="34000000"/>
  </r>
  <r>
    <n v="6"/>
    <s v="이경미"/>
    <s v="여"/>
    <s v="대리"/>
    <x v="2"/>
    <x v="0"/>
    <x v="4"/>
    <x v="2"/>
    <n v="23000"/>
    <n v="34000000"/>
  </r>
  <r>
    <n v="7"/>
    <s v="최소라"/>
    <s v="여"/>
    <s v="부장"/>
    <x v="0"/>
    <x v="3"/>
    <x v="4"/>
    <x v="4"/>
    <n v="25000"/>
    <n v="2450000"/>
  </r>
  <r>
    <n v="8"/>
    <s v="김은정"/>
    <s v="여"/>
    <s v="차장"/>
    <x v="2"/>
    <x v="3"/>
    <x v="2"/>
    <x v="5"/>
    <n v="36000"/>
    <n v="12000000"/>
  </r>
  <r>
    <n v="9"/>
    <s v="원서준"/>
    <s v="남"/>
    <s v="부장"/>
    <x v="2"/>
    <x v="4"/>
    <x v="2"/>
    <x v="6"/>
    <n v="93000"/>
    <n v="6234000"/>
  </r>
  <r>
    <n v="10"/>
    <s v="채소연"/>
    <s v="여"/>
    <s v="부장"/>
    <x v="2"/>
    <x v="4"/>
    <x v="2"/>
    <x v="7"/>
    <n v="20000"/>
    <n v="5234000"/>
  </r>
  <r>
    <n v="11"/>
    <s v="정유진"/>
    <s v="여"/>
    <s v="과장"/>
    <x v="2"/>
    <x v="1"/>
    <x v="2"/>
    <x v="7"/>
    <n v="59200"/>
    <n v="53000000"/>
  </r>
  <r>
    <n v="12"/>
    <s v="홍길동"/>
    <s v="남"/>
    <s v="부장"/>
    <x v="0"/>
    <x v="1"/>
    <x v="2"/>
    <x v="7"/>
    <n v="82000"/>
    <n v="23000000"/>
  </r>
  <r>
    <n v="13"/>
    <s v="김기연"/>
    <s v="남"/>
    <s v="차장"/>
    <x v="2"/>
    <x v="2"/>
    <x v="3"/>
    <x v="4"/>
    <n v="4000"/>
    <n v="45000000"/>
  </r>
  <r>
    <n v="14"/>
    <s v="김현정"/>
    <s v="여"/>
    <s v="대리"/>
    <x v="2"/>
    <x v="2"/>
    <x v="0"/>
    <x v="8"/>
    <n v="50000"/>
    <n v="45000000"/>
  </r>
  <r>
    <n v="15"/>
    <s v="고숭녕"/>
    <s v="남"/>
    <s v="대리"/>
    <x v="2"/>
    <x v="2"/>
    <x v="2"/>
    <x v="2"/>
    <n v="11200"/>
    <n v="33500000"/>
  </r>
  <r>
    <n v="16"/>
    <s v="조홍제"/>
    <s v="남"/>
    <s v="사원"/>
    <x v="2"/>
    <x v="0"/>
    <x v="2"/>
    <x v="2"/>
    <n v="4000"/>
    <n v="3400000"/>
  </r>
  <r>
    <n v="17"/>
    <s v="박국희"/>
    <s v="여"/>
    <s v="과장"/>
    <x v="2"/>
    <x v="1"/>
    <x v="2"/>
    <x v="9"/>
    <n v="41200"/>
    <n v="26200000"/>
  </r>
  <r>
    <n v="18"/>
    <s v="한우석"/>
    <s v="남"/>
    <s v="과장"/>
    <x v="2"/>
    <x v="1"/>
    <x v="2"/>
    <x v="10"/>
    <n v="80000"/>
    <n v="5250000"/>
  </r>
  <r>
    <n v="19"/>
    <s v="박슬기"/>
    <s v="여"/>
    <s v="대리"/>
    <x v="2"/>
    <x v="3"/>
    <x v="4"/>
    <x v="11"/>
    <n v="24000"/>
    <n v="23400000"/>
  </r>
  <r>
    <n v="20"/>
    <s v="안정훈"/>
    <s v="남"/>
    <s v="과장"/>
    <x v="1"/>
    <x v="0"/>
    <x v="4"/>
    <x v="10"/>
    <n v="26400"/>
    <n v="2340000"/>
  </r>
  <r>
    <n v="21"/>
    <s v="최준기"/>
    <s v="남"/>
    <s v="과장"/>
    <x v="1"/>
    <x v="4"/>
    <x v="4"/>
    <x v="12"/>
    <n v="55000"/>
    <n v="36000000"/>
  </r>
  <r>
    <n v="22"/>
    <s v="이한구"/>
    <s v="남"/>
    <s v="부장"/>
    <x v="0"/>
    <x v="3"/>
    <x v="2"/>
    <x v="9"/>
    <n v="4000"/>
    <n v="24500000"/>
  </r>
  <r>
    <n v="23"/>
    <s v="오명근"/>
    <s v="남"/>
    <s v="사원"/>
    <x v="0"/>
    <x v="1"/>
    <x v="4"/>
    <x v="13"/>
    <n v="12000"/>
    <n v="34000000"/>
  </r>
  <r>
    <n v="24"/>
    <s v="김형호"/>
    <s v="남"/>
    <s v="사원"/>
    <x v="0"/>
    <x v="4"/>
    <x v="2"/>
    <x v="14"/>
    <n v="77000"/>
    <n v="53000000"/>
  </r>
  <r>
    <n v="25"/>
    <s v="이희훈"/>
    <s v="여"/>
    <s v="대리"/>
    <x v="1"/>
    <x v="4"/>
    <x v="4"/>
    <x v="0"/>
    <n v="76000"/>
    <n v="5300000"/>
  </r>
  <r>
    <n v="26"/>
    <s v="고원지"/>
    <s v="여"/>
    <s v="사원"/>
    <x v="1"/>
    <x v="4"/>
    <x v="2"/>
    <x v="15"/>
    <n v="33000"/>
    <n v="3245000"/>
  </r>
  <r>
    <n v="27"/>
    <s v="한재호"/>
    <s v="남"/>
    <s v="사원"/>
    <x v="1"/>
    <x v="1"/>
    <x v="3"/>
    <x v="16"/>
    <n v="8000"/>
    <n v="36000000"/>
  </r>
  <r>
    <n v="28"/>
    <s v="조예준"/>
    <s v="남"/>
    <s v="대리"/>
    <x v="0"/>
    <x v="2"/>
    <x v="3"/>
    <x v="2"/>
    <n v="45000"/>
    <n v="13000000"/>
  </r>
  <r>
    <n v="29"/>
    <s v="김소훈"/>
    <s v="여"/>
    <s v="과장"/>
    <x v="1"/>
    <x v="0"/>
    <x v="0"/>
    <x v="9"/>
    <n v="10000"/>
    <n v="2400000"/>
  </r>
  <r>
    <n v="30"/>
    <s v="원성현"/>
    <s v="남"/>
    <s v="과장"/>
    <x v="1"/>
    <x v="0"/>
    <x v="5"/>
    <x v="17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5C93F-C8A0-4E1D-9B71-506F22444826}" name="피벗 테이블12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20" firstHeaderRow="1" firstDataRow="2" firstDataCol="1"/>
  <pivotFields count="11"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>
      <items count="7">
        <item x="0"/>
        <item x="2"/>
        <item x="1"/>
        <item x="4"/>
        <item x="3"/>
        <item x="5"/>
        <item t="default"/>
      </items>
    </pivotField>
    <pivotField numFmtId="14" showAll="0">
      <items count="19">
        <item x="6"/>
        <item x="7"/>
        <item x="4"/>
        <item x="5"/>
        <item x="17"/>
        <item x="11"/>
        <item x="9"/>
        <item x="10"/>
        <item x="12"/>
        <item x="3"/>
        <item x="8"/>
        <item x="2"/>
        <item x="16"/>
        <item x="15"/>
        <item x="14"/>
        <item x="13"/>
        <item x="0"/>
        <item x="1"/>
        <item t="default"/>
      </items>
    </pivotField>
    <pivotField numFmtId="41" showAll="0"/>
    <pivotField dataField="1" numFmtId="4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5"/>
  </rowFields>
  <rowItems count="16"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합계 : 영업실적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유형" xr10:uid="{F1901C71-65E9-4DFF-A834-BD88F9FD512F}" sourceName="유형">
  <pivotTables>
    <pivotTable tabId="3" name="피벗 테이블12"/>
  </pivotTables>
  <data>
    <tabular pivotCacheId="2041173215">
      <items count="6">
        <i x="0" s="1"/>
        <i x="2" s="1"/>
        <i x="1" s="1"/>
        <i x="4" s="1"/>
        <i x="3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유형" xr10:uid="{FCB04231-BBFE-446A-99B6-5985EE2E9BF5}" cache="슬라이서_유형" caption="유형" style="SlicerStyleLight2" rowHeight="2836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BE008-33C7-4041-AAFA-EB027B9ABC3F}" name="데이터" displayName="데이터" ref="A1:J31" totalsRowShown="0" headerRowDxfId="11" tableBorderDxfId="10" headerRowCellStyle="쉼표 [0]">
  <autoFilter ref="A1:J31" xr:uid="{556BE008-33C7-4041-AAFA-EB027B9ABC3F}"/>
  <tableColumns count="10">
    <tableColumn id="1" xr3:uid="{97238367-84F5-4862-A690-9C771BE9B27D}" name="NO" dataDxfId="9"/>
    <tableColumn id="2" xr3:uid="{9F106006-5471-4031-8BF5-A21974EDBA22}" name="담당사원" dataDxfId="8"/>
    <tableColumn id="3" xr3:uid="{AB383B68-FB71-4DA9-9CFF-DDF67F83EBE7}" name="성별" dataDxfId="7"/>
    <tableColumn id="4" xr3:uid="{187721B5-11B7-4B8E-A0EB-A8A3FC555D8F}" name="직위" dataDxfId="6"/>
    <tableColumn id="5" xr3:uid="{FC104DC4-CFDA-4768-A37E-AB224080C85C}" name="영업분야" dataDxfId="5"/>
    <tableColumn id="6" xr3:uid="{21AF006B-BF40-4DEC-AA74-904A25D08820}" name="지역" dataDxfId="4"/>
    <tableColumn id="7" xr3:uid="{53E1033C-6296-40C1-B386-37CC27C1DF24}" name="유형" dataDxfId="3"/>
    <tableColumn id="8" xr3:uid="{29B93F92-968D-4263-9ABF-D88A978ACBB9}" name="납품일" dataDxfId="2"/>
    <tableColumn id="9" xr3:uid="{F1448AE6-5207-4417-BC96-5A36C09230EA}" name="납품수량" dataDxfId="1" dataCellStyle="쉼표 [0]"/>
    <tableColumn id="10" xr3:uid="{FE81488A-33F5-4EE1-AED6-D18896E21A84}" name="영업실적" dataDxfId="0" dataCellStyle="쉼표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D3D0-F2F7-48F5-8434-9D6A312B28AE}">
  <dimension ref="A3:E20"/>
  <sheetViews>
    <sheetView workbookViewId="0">
      <selection activeCell="B6" sqref="B6"/>
    </sheetView>
  </sheetViews>
  <sheetFormatPr defaultRowHeight="16.5"/>
  <cols>
    <col min="1" max="1" width="14.5" bestFit="1" customWidth="1"/>
    <col min="2" max="2" width="11.375" bestFit="1" customWidth="1"/>
    <col min="3" max="5" width="11.125" bestFit="1" customWidth="1"/>
  </cols>
  <sheetData>
    <row r="3" spans="1:5">
      <c r="A3" s="28" t="s">
        <v>74</v>
      </c>
      <c r="B3" s="28" t="s">
        <v>66</v>
      </c>
    </row>
    <row r="4" spans="1:5">
      <c r="A4" s="28" t="s">
        <v>64</v>
      </c>
      <c r="B4" t="s">
        <v>27</v>
      </c>
      <c r="C4" t="s">
        <v>12</v>
      </c>
      <c r="D4" t="s">
        <v>20</v>
      </c>
      <c r="E4" t="s">
        <v>65</v>
      </c>
    </row>
    <row r="5" spans="1:5">
      <c r="A5" s="29" t="s">
        <v>70</v>
      </c>
      <c r="B5">
        <v>121468000</v>
      </c>
      <c r="C5">
        <v>25450000</v>
      </c>
      <c r="E5">
        <v>146918000</v>
      </c>
    </row>
    <row r="6" spans="1:5">
      <c r="A6" s="30" t="s">
        <v>17</v>
      </c>
      <c r="B6">
        <v>53000000</v>
      </c>
      <c r="C6">
        <v>23000000</v>
      </c>
      <c r="E6">
        <v>76000000</v>
      </c>
    </row>
    <row r="7" spans="1:5">
      <c r="A7" s="30" t="s">
        <v>23</v>
      </c>
      <c r="B7">
        <v>45000000</v>
      </c>
      <c r="E7">
        <v>45000000</v>
      </c>
    </row>
    <row r="8" spans="1:5">
      <c r="A8" s="30" t="s">
        <v>68</v>
      </c>
      <c r="B8">
        <v>11468000</v>
      </c>
      <c r="E8">
        <v>11468000</v>
      </c>
    </row>
    <row r="9" spans="1:5">
      <c r="A9" s="30" t="s">
        <v>69</v>
      </c>
      <c r="B9">
        <v>12000000</v>
      </c>
      <c r="C9">
        <v>2450000</v>
      </c>
      <c r="E9">
        <v>14450000</v>
      </c>
    </row>
    <row r="10" spans="1:5">
      <c r="A10" s="29" t="s">
        <v>71</v>
      </c>
      <c r="B10">
        <v>170750000</v>
      </c>
      <c r="C10">
        <v>124500000</v>
      </c>
      <c r="D10">
        <v>157615000</v>
      </c>
      <c r="E10">
        <v>452865000</v>
      </c>
    </row>
    <row r="11" spans="1:5">
      <c r="A11" s="30" t="s">
        <v>17</v>
      </c>
      <c r="B11">
        <v>31450000</v>
      </c>
      <c r="D11">
        <v>36000000</v>
      </c>
      <c r="E11">
        <v>67450000</v>
      </c>
    </row>
    <row r="12" spans="1:5">
      <c r="A12" s="30" t="s">
        <v>67</v>
      </c>
      <c r="B12">
        <v>37400000</v>
      </c>
      <c r="D12">
        <v>58970000</v>
      </c>
      <c r="E12">
        <v>96370000</v>
      </c>
    </row>
    <row r="13" spans="1:5">
      <c r="A13" s="30" t="s">
        <v>23</v>
      </c>
      <c r="B13">
        <v>78500000</v>
      </c>
      <c r="C13">
        <v>47000000</v>
      </c>
      <c r="D13">
        <v>23400000</v>
      </c>
      <c r="E13">
        <v>148900000</v>
      </c>
    </row>
    <row r="14" spans="1:5">
      <c r="A14" s="30" t="s">
        <v>68</v>
      </c>
      <c r="C14">
        <v>53000000</v>
      </c>
      <c r="D14">
        <v>39245000</v>
      </c>
      <c r="E14">
        <v>92245000</v>
      </c>
    </row>
    <row r="15" spans="1:5">
      <c r="A15" s="30" t="s">
        <v>69</v>
      </c>
      <c r="B15">
        <v>23400000</v>
      </c>
      <c r="C15">
        <v>24500000</v>
      </c>
      <c r="E15">
        <v>47900000</v>
      </c>
    </row>
    <row r="16" spans="1:5">
      <c r="A16" s="29" t="s">
        <v>72</v>
      </c>
      <c r="C16">
        <v>60400000</v>
      </c>
      <c r="D16">
        <v>5300000</v>
      </c>
      <c r="E16">
        <v>65700000</v>
      </c>
    </row>
    <row r="17" spans="1:5">
      <c r="A17" s="30" t="s">
        <v>17</v>
      </c>
      <c r="C17">
        <v>37400000</v>
      </c>
      <c r="E17">
        <v>37400000</v>
      </c>
    </row>
    <row r="18" spans="1:5">
      <c r="A18" s="30" t="s">
        <v>67</v>
      </c>
      <c r="C18">
        <v>23000000</v>
      </c>
      <c r="E18">
        <v>23000000</v>
      </c>
    </row>
    <row r="19" spans="1:5">
      <c r="A19" s="30" t="s">
        <v>68</v>
      </c>
      <c r="D19">
        <v>5300000</v>
      </c>
      <c r="E19">
        <v>5300000</v>
      </c>
    </row>
    <row r="20" spans="1:5">
      <c r="A20" s="29" t="s">
        <v>65</v>
      </c>
      <c r="B20">
        <v>292218000</v>
      </c>
      <c r="C20">
        <v>210350000</v>
      </c>
      <c r="D20">
        <v>162915000</v>
      </c>
      <c r="E20">
        <v>665483000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D2F5-814D-488A-A32A-FA6E753E0A80}">
  <dimension ref="A1:J31"/>
  <sheetViews>
    <sheetView showGridLines="0" workbookViewId="0">
      <selection activeCell="J6" sqref="J6"/>
    </sheetView>
  </sheetViews>
  <sheetFormatPr defaultColWidth="9" defaultRowHeight="16.5"/>
  <cols>
    <col min="1" max="1" width="5.5" style="1" customWidth="1"/>
    <col min="2" max="2" width="10.25" style="1" customWidth="1"/>
    <col min="3" max="3" width="6.25" style="1" customWidth="1"/>
    <col min="4" max="4" width="6.75" style="1" customWidth="1"/>
    <col min="5" max="5" width="9.875" style="1" customWidth="1"/>
    <col min="6" max="6" width="8.5" style="1" customWidth="1"/>
    <col min="7" max="7" width="8.25" style="9" customWidth="1"/>
    <col min="8" max="8" width="11.125" style="10" bestFit="1" customWidth="1"/>
    <col min="9" max="9" width="11.375" style="11" customWidth="1"/>
    <col min="10" max="10" width="13" style="12" bestFit="1" customWidth="1"/>
    <col min="11" max="16384" width="9" style="5"/>
  </cols>
  <sheetData>
    <row r="1" spans="1:10" s="1" customFormat="1" ht="21" customHeight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 t="s">
        <v>7</v>
      </c>
      <c r="I1" s="27" t="s">
        <v>8</v>
      </c>
      <c r="J1" s="27" t="s">
        <v>73</v>
      </c>
    </row>
    <row r="2" spans="1:10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45852</v>
      </c>
      <c r="I2" s="4">
        <v>40000</v>
      </c>
      <c r="J2" s="4">
        <v>23000000</v>
      </c>
    </row>
    <row r="3" spans="1:10">
      <c r="A3" s="2">
        <v>2</v>
      </c>
      <c r="B3" s="2" t="s">
        <v>15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18</v>
      </c>
      <c r="H3" s="3">
        <v>45858</v>
      </c>
      <c r="I3" s="4">
        <v>20000</v>
      </c>
      <c r="J3" s="4">
        <v>3400000</v>
      </c>
    </row>
    <row r="4" spans="1:10">
      <c r="A4" s="2">
        <v>3</v>
      </c>
      <c r="B4" s="2" t="s">
        <v>19</v>
      </c>
      <c r="C4" s="2" t="s">
        <v>10</v>
      </c>
      <c r="D4" s="2" t="s">
        <v>16</v>
      </c>
      <c r="E4" s="2" t="s">
        <v>20</v>
      </c>
      <c r="F4" s="2" t="s">
        <v>13</v>
      </c>
      <c r="G4" s="2" t="s">
        <v>21</v>
      </c>
      <c r="H4" s="3">
        <v>45806</v>
      </c>
      <c r="I4" s="4">
        <v>13600</v>
      </c>
      <c r="J4" s="4">
        <v>53000000</v>
      </c>
    </row>
    <row r="5" spans="1:10">
      <c r="A5" s="2">
        <v>4</v>
      </c>
      <c r="B5" s="2" t="s">
        <v>22</v>
      </c>
      <c r="C5" s="2" t="s">
        <v>10</v>
      </c>
      <c r="D5" s="2" t="s">
        <v>11</v>
      </c>
      <c r="E5" s="2" t="s">
        <v>20</v>
      </c>
      <c r="F5" s="2" t="s">
        <v>23</v>
      </c>
      <c r="G5" s="2" t="s">
        <v>21</v>
      </c>
      <c r="H5" s="3">
        <v>45798</v>
      </c>
      <c r="I5" s="4">
        <v>20000</v>
      </c>
      <c r="J5" s="4">
        <v>23400000</v>
      </c>
    </row>
    <row r="6" spans="1:10">
      <c r="A6" s="2">
        <v>5</v>
      </c>
      <c r="B6" s="2" t="s">
        <v>24</v>
      </c>
      <c r="C6" s="2" t="s">
        <v>10</v>
      </c>
      <c r="D6" s="2" t="s">
        <v>16</v>
      </c>
      <c r="E6" s="2" t="s">
        <v>12</v>
      </c>
      <c r="F6" s="2" t="s">
        <v>23</v>
      </c>
      <c r="G6" s="2" t="s">
        <v>25</v>
      </c>
      <c r="H6" s="3">
        <v>45806</v>
      </c>
      <c r="I6" s="4">
        <v>40000</v>
      </c>
      <c r="J6" s="4">
        <v>34000000</v>
      </c>
    </row>
    <row r="7" spans="1:10">
      <c r="A7" s="2">
        <v>6</v>
      </c>
      <c r="B7" s="2" t="s">
        <v>26</v>
      </c>
      <c r="C7" s="2" t="s">
        <v>10</v>
      </c>
      <c r="D7" s="2" t="s">
        <v>11</v>
      </c>
      <c r="E7" s="2" t="s">
        <v>27</v>
      </c>
      <c r="F7" s="2" t="s">
        <v>13</v>
      </c>
      <c r="G7" s="2" t="s">
        <v>28</v>
      </c>
      <c r="H7" s="3">
        <v>45806</v>
      </c>
      <c r="I7" s="4">
        <v>23000</v>
      </c>
      <c r="J7" s="4">
        <v>34000000</v>
      </c>
    </row>
    <row r="8" spans="1:10">
      <c r="A8" s="2">
        <v>7</v>
      </c>
      <c r="B8" s="2" t="s">
        <v>29</v>
      </c>
      <c r="C8" s="2" t="s">
        <v>10</v>
      </c>
      <c r="D8" s="2" t="s">
        <v>30</v>
      </c>
      <c r="E8" s="2" t="s">
        <v>12</v>
      </c>
      <c r="F8" s="2" t="s">
        <v>31</v>
      </c>
      <c r="G8" s="2" t="s">
        <v>28</v>
      </c>
      <c r="H8" s="3">
        <v>45713</v>
      </c>
      <c r="I8" s="4">
        <v>25000</v>
      </c>
      <c r="J8" s="4">
        <v>2450000</v>
      </c>
    </row>
    <row r="9" spans="1:10">
      <c r="A9" s="2">
        <v>8</v>
      </c>
      <c r="B9" s="2" t="s">
        <v>32</v>
      </c>
      <c r="C9" s="2" t="s">
        <v>10</v>
      </c>
      <c r="D9" s="2" t="s">
        <v>33</v>
      </c>
      <c r="E9" s="2" t="s">
        <v>27</v>
      </c>
      <c r="F9" s="2" t="s">
        <v>31</v>
      </c>
      <c r="G9" s="2" t="s">
        <v>21</v>
      </c>
      <c r="H9" s="3">
        <v>45716</v>
      </c>
      <c r="I9" s="4">
        <v>36000</v>
      </c>
      <c r="J9" s="4">
        <v>12000000</v>
      </c>
    </row>
    <row r="10" spans="1:10">
      <c r="A10" s="2">
        <v>9</v>
      </c>
      <c r="B10" s="2" t="s">
        <v>34</v>
      </c>
      <c r="C10" s="2" t="s">
        <v>35</v>
      </c>
      <c r="D10" s="2" t="s">
        <v>30</v>
      </c>
      <c r="E10" s="2" t="s">
        <v>27</v>
      </c>
      <c r="F10" s="2" t="s">
        <v>36</v>
      </c>
      <c r="G10" s="2" t="s">
        <v>21</v>
      </c>
      <c r="H10" s="3">
        <v>45699</v>
      </c>
      <c r="I10" s="4">
        <v>93000</v>
      </c>
      <c r="J10" s="4">
        <v>6234000</v>
      </c>
    </row>
    <row r="11" spans="1:10">
      <c r="A11" s="2">
        <v>10</v>
      </c>
      <c r="B11" s="2" t="s">
        <v>37</v>
      </c>
      <c r="C11" s="2" t="s">
        <v>10</v>
      </c>
      <c r="D11" s="2" t="s">
        <v>30</v>
      </c>
      <c r="E11" s="2" t="s">
        <v>27</v>
      </c>
      <c r="F11" s="2" t="s">
        <v>36</v>
      </c>
      <c r="G11" s="2" t="s">
        <v>21</v>
      </c>
      <c r="H11" s="3">
        <v>45707</v>
      </c>
      <c r="I11" s="4">
        <v>20000</v>
      </c>
      <c r="J11" s="4">
        <v>5234000</v>
      </c>
    </row>
    <row r="12" spans="1:10">
      <c r="A12" s="2">
        <v>11</v>
      </c>
      <c r="B12" s="2" t="s">
        <v>38</v>
      </c>
      <c r="C12" s="2" t="s">
        <v>10</v>
      </c>
      <c r="D12" s="2" t="s">
        <v>39</v>
      </c>
      <c r="E12" s="2" t="s">
        <v>27</v>
      </c>
      <c r="F12" s="2" t="s">
        <v>17</v>
      </c>
      <c r="G12" s="2" t="s">
        <v>21</v>
      </c>
      <c r="H12" s="3">
        <v>45707</v>
      </c>
      <c r="I12" s="4">
        <v>59200</v>
      </c>
      <c r="J12" s="4">
        <v>53000000</v>
      </c>
    </row>
    <row r="13" spans="1:10">
      <c r="A13" s="2">
        <v>12</v>
      </c>
      <c r="B13" s="2" t="s">
        <v>40</v>
      </c>
      <c r="C13" s="2" t="s">
        <v>35</v>
      </c>
      <c r="D13" s="2" t="s">
        <v>30</v>
      </c>
      <c r="E13" s="2" t="s">
        <v>12</v>
      </c>
      <c r="F13" s="2" t="s">
        <v>17</v>
      </c>
      <c r="G13" s="2" t="s">
        <v>21</v>
      </c>
      <c r="H13" s="3">
        <v>45707</v>
      </c>
      <c r="I13" s="4">
        <v>82000</v>
      </c>
      <c r="J13" s="4">
        <v>23000000</v>
      </c>
    </row>
    <row r="14" spans="1:10">
      <c r="A14" s="2">
        <v>13</v>
      </c>
      <c r="B14" s="6" t="s">
        <v>41</v>
      </c>
      <c r="C14" s="6" t="s">
        <v>35</v>
      </c>
      <c r="D14" s="6" t="s">
        <v>42</v>
      </c>
      <c r="E14" s="6" t="s">
        <v>43</v>
      </c>
      <c r="F14" s="6" t="s">
        <v>23</v>
      </c>
      <c r="G14" s="6" t="s">
        <v>25</v>
      </c>
      <c r="H14" s="7">
        <v>45713</v>
      </c>
      <c r="I14" s="8">
        <v>4000</v>
      </c>
      <c r="J14" s="8">
        <v>45000000</v>
      </c>
    </row>
    <row r="15" spans="1:10">
      <c r="A15" s="2">
        <v>14</v>
      </c>
      <c r="B15" s="2" t="s">
        <v>44</v>
      </c>
      <c r="C15" s="2" t="s">
        <v>10</v>
      </c>
      <c r="D15" s="2" t="s">
        <v>11</v>
      </c>
      <c r="E15" s="2" t="s">
        <v>27</v>
      </c>
      <c r="F15" s="2" t="s">
        <v>23</v>
      </c>
      <c r="G15" s="2" t="s">
        <v>14</v>
      </c>
      <c r="H15" s="3">
        <v>45804</v>
      </c>
      <c r="I15" s="4">
        <v>50000</v>
      </c>
      <c r="J15" s="4">
        <v>45000000</v>
      </c>
    </row>
    <row r="16" spans="1:10">
      <c r="A16" s="2">
        <v>15</v>
      </c>
      <c r="B16" s="2" t="s">
        <v>45</v>
      </c>
      <c r="C16" s="2" t="s">
        <v>35</v>
      </c>
      <c r="D16" s="2" t="s">
        <v>11</v>
      </c>
      <c r="E16" s="2" t="s">
        <v>27</v>
      </c>
      <c r="F16" s="2" t="s">
        <v>23</v>
      </c>
      <c r="G16" s="2" t="s">
        <v>21</v>
      </c>
      <c r="H16" s="3">
        <v>45806</v>
      </c>
      <c r="I16" s="4">
        <v>11200</v>
      </c>
      <c r="J16" s="4">
        <v>33500000</v>
      </c>
    </row>
    <row r="17" spans="1:10">
      <c r="A17" s="2">
        <v>16</v>
      </c>
      <c r="B17" s="2" t="s">
        <v>46</v>
      </c>
      <c r="C17" s="2" t="s">
        <v>35</v>
      </c>
      <c r="D17" s="2" t="s">
        <v>16</v>
      </c>
      <c r="E17" s="2" t="s">
        <v>27</v>
      </c>
      <c r="F17" s="2" t="s">
        <v>13</v>
      </c>
      <c r="G17" s="2" t="s">
        <v>21</v>
      </c>
      <c r="H17" s="3">
        <v>45806</v>
      </c>
      <c r="I17" s="4">
        <v>4000</v>
      </c>
      <c r="J17" s="4">
        <v>3400000</v>
      </c>
    </row>
    <row r="18" spans="1:10">
      <c r="A18" s="2">
        <v>17</v>
      </c>
      <c r="B18" s="2" t="s">
        <v>47</v>
      </c>
      <c r="C18" s="2" t="s">
        <v>10</v>
      </c>
      <c r="D18" s="2" t="s">
        <v>39</v>
      </c>
      <c r="E18" s="2" t="s">
        <v>27</v>
      </c>
      <c r="F18" s="2" t="s">
        <v>17</v>
      </c>
      <c r="G18" s="2" t="s">
        <v>21</v>
      </c>
      <c r="H18" s="3">
        <v>45756</v>
      </c>
      <c r="I18" s="4">
        <v>41200</v>
      </c>
      <c r="J18" s="4">
        <v>26200000</v>
      </c>
    </row>
    <row r="19" spans="1:10">
      <c r="A19" s="2">
        <v>18</v>
      </c>
      <c r="B19" s="2" t="s">
        <v>48</v>
      </c>
      <c r="C19" s="2" t="s">
        <v>35</v>
      </c>
      <c r="D19" s="2" t="s">
        <v>39</v>
      </c>
      <c r="E19" s="2" t="s">
        <v>27</v>
      </c>
      <c r="F19" s="2" t="s">
        <v>17</v>
      </c>
      <c r="G19" s="2" t="s">
        <v>21</v>
      </c>
      <c r="H19" s="3">
        <v>45762</v>
      </c>
      <c r="I19" s="4">
        <v>80000</v>
      </c>
      <c r="J19" s="4">
        <v>5250000</v>
      </c>
    </row>
    <row r="20" spans="1:10">
      <c r="A20" s="2">
        <v>19</v>
      </c>
      <c r="B20" s="2" t="s">
        <v>49</v>
      </c>
      <c r="C20" s="2" t="s">
        <v>10</v>
      </c>
      <c r="D20" s="2" t="s">
        <v>11</v>
      </c>
      <c r="E20" s="2" t="s">
        <v>27</v>
      </c>
      <c r="F20" s="2" t="s">
        <v>31</v>
      </c>
      <c r="G20" s="2" t="s">
        <v>28</v>
      </c>
      <c r="H20" s="3">
        <v>45754</v>
      </c>
      <c r="I20" s="4">
        <v>24000</v>
      </c>
      <c r="J20" s="4">
        <v>23400000</v>
      </c>
    </row>
    <row r="21" spans="1:10">
      <c r="A21" s="2">
        <v>20</v>
      </c>
      <c r="B21" s="2" t="s">
        <v>50</v>
      </c>
      <c r="C21" s="2" t="s">
        <v>35</v>
      </c>
      <c r="D21" s="2" t="s">
        <v>39</v>
      </c>
      <c r="E21" s="2" t="s">
        <v>20</v>
      </c>
      <c r="F21" s="2" t="s">
        <v>13</v>
      </c>
      <c r="G21" s="2" t="s">
        <v>28</v>
      </c>
      <c r="H21" s="3">
        <v>45762</v>
      </c>
      <c r="I21" s="4">
        <v>26400</v>
      </c>
      <c r="J21" s="4">
        <v>2340000</v>
      </c>
    </row>
    <row r="22" spans="1:10">
      <c r="A22" s="2">
        <v>21</v>
      </c>
      <c r="B22" s="2" t="s">
        <v>51</v>
      </c>
      <c r="C22" s="2" t="s">
        <v>35</v>
      </c>
      <c r="D22" s="2" t="s">
        <v>39</v>
      </c>
      <c r="E22" s="2" t="s">
        <v>20</v>
      </c>
      <c r="F22" s="2" t="s">
        <v>36</v>
      </c>
      <c r="G22" s="2" t="s">
        <v>28</v>
      </c>
      <c r="H22" s="3">
        <v>45766</v>
      </c>
      <c r="I22" s="4">
        <v>55000</v>
      </c>
      <c r="J22" s="4">
        <v>36000000</v>
      </c>
    </row>
    <row r="23" spans="1:10">
      <c r="A23" s="2">
        <v>22</v>
      </c>
      <c r="B23" s="2" t="s">
        <v>52</v>
      </c>
      <c r="C23" s="2" t="s">
        <v>35</v>
      </c>
      <c r="D23" s="2" t="s">
        <v>30</v>
      </c>
      <c r="E23" s="2" t="s">
        <v>12</v>
      </c>
      <c r="F23" s="2" t="s">
        <v>31</v>
      </c>
      <c r="G23" s="2" t="s">
        <v>21</v>
      </c>
      <c r="H23" s="3">
        <v>45756</v>
      </c>
      <c r="I23" s="4">
        <v>4000</v>
      </c>
      <c r="J23" s="4">
        <v>24500000</v>
      </c>
    </row>
    <row r="24" spans="1:10">
      <c r="A24" s="2">
        <v>23</v>
      </c>
      <c r="B24" s="2" t="s">
        <v>53</v>
      </c>
      <c r="C24" s="2" t="s">
        <v>35</v>
      </c>
      <c r="D24" s="2" t="s">
        <v>16</v>
      </c>
      <c r="E24" s="2" t="s">
        <v>12</v>
      </c>
      <c r="F24" s="2" t="s">
        <v>17</v>
      </c>
      <c r="G24" s="2" t="s">
        <v>28</v>
      </c>
      <c r="H24" s="3">
        <v>45851</v>
      </c>
      <c r="I24" s="4">
        <v>12000</v>
      </c>
      <c r="J24" s="4">
        <v>34000000</v>
      </c>
    </row>
    <row r="25" spans="1:10">
      <c r="A25" s="2">
        <v>24</v>
      </c>
      <c r="B25" s="2" t="s">
        <v>54</v>
      </c>
      <c r="C25" s="2" t="s">
        <v>35</v>
      </c>
      <c r="D25" s="2" t="s">
        <v>16</v>
      </c>
      <c r="E25" s="2" t="s">
        <v>12</v>
      </c>
      <c r="F25" s="2" t="s">
        <v>36</v>
      </c>
      <c r="G25" s="2" t="s">
        <v>21</v>
      </c>
      <c r="H25" s="3">
        <v>45838</v>
      </c>
      <c r="I25" s="4">
        <v>77000</v>
      </c>
      <c r="J25" s="4">
        <v>53000000</v>
      </c>
    </row>
    <row r="26" spans="1:10">
      <c r="A26" s="2">
        <v>25</v>
      </c>
      <c r="B26" s="2" t="s">
        <v>55</v>
      </c>
      <c r="C26" s="2" t="s">
        <v>10</v>
      </c>
      <c r="D26" s="2" t="s">
        <v>11</v>
      </c>
      <c r="E26" s="2" t="s">
        <v>20</v>
      </c>
      <c r="F26" s="2" t="s">
        <v>36</v>
      </c>
      <c r="G26" s="2" t="s">
        <v>28</v>
      </c>
      <c r="H26" s="3">
        <v>45852</v>
      </c>
      <c r="I26" s="4">
        <v>76000</v>
      </c>
      <c r="J26" s="4">
        <v>5300000</v>
      </c>
    </row>
    <row r="27" spans="1:10">
      <c r="A27" s="2">
        <v>26</v>
      </c>
      <c r="B27" s="2" t="s">
        <v>56</v>
      </c>
      <c r="C27" s="2" t="s">
        <v>10</v>
      </c>
      <c r="D27" s="2" t="s">
        <v>16</v>
      </c>
      <c r="E27" s="2" t="s">
        <v>20</v>
      </c>
      <c r="F27" s="2" t="s">
        <v>36</v>
      </c>
      <c r="G27" s="2" t="s">
        <v>21</v>
      </c>
      <c r="H27" s="3">
        <v>45818</v>
      </c>
      <c r="I27" s="4">
        <v>33000</v>
      </c>
      <c r="J27" s="4">
        <v>3245000</v>
      </c>
    </row>
    <row r="28" spans="1:10">
      <c r="A28" s="2">
        <v>27</v>
      </c>
      <c r="B28" s="2" t="s">
        <v>57</v>
      </c>
      <c r="C28" s="2" t="s">
        <v>35</v>
      </c>
      <c r="D28" s="2" t="s">
        <v>16</v>
      </c>
      <c r="E28" s="2" t="s">
        <v>20</v>
      </c>
      <c r="F28" s="2" t="s">
        <v>17</v>
      </c>
      <c r="G28" s="2" t="s">
        <v>25</v>
      </c>
      <c r="H28" s="3">
        <v>45816</v>
      </c>
      <c r="I28" s="4">
        <v>8000</v>
      </c>
      <c r="J28" s="4">
        <v>36000000</v>
      </c>
    </row>
    <row r="29" spans="1:10">
      <c r="A29" s="2">
        <v>28</v>
      </c>
      <c r="B29" s="2" t="s">
        <v>58</v>
      </c>
      <c r="C29" s="2" t="s">
        <v>35</v>
      </c>
      <c r="D29" s="2" t="s">
        <v>11</v>
      </c>
      <c r="E29" s="2" t="s">
        <v>12</v>
      </c>
      <c r="F29" s="2" t="s">
        <v>23</v>
      </c>
      <c r="G29" s="2" t="s">
        <v>25</v>
      </c>
      <c r="H29" s="3">
        <v>45806</v>
      </c>
      <c r="I29" s="4">
        <v>45000</v>
      </c>
      <c r="J29" s="4">
        <v>13000000</v>
      </c>
    </row>
    <row r="30" spans="1:10">
      <c r="A30" s="2">
        <v>29</v>
      </c>
      <c r="B30" s="2" t="s">
        <v>59</v>
      </c>
      <c r="C30" s="2" t="s">
        <v>10</v>
      </c>
      <c r="D30" s="2" t="s">
        <v>39</v>
      </c>
      <c r="E30" s="2" t="s">
        <v>20</v>
      </c>
      <c r="F30" s="2" t="s">
        <v>13</v>
      </c>
      <c r="G30" s="2" t="s">
        <v>14</v>
      </c>
      <c r="H30" s="3">
        <v>45756</v>
      </c>
      <c r="I30" s="4">
        <v>10000</v>
      </c>
      <c r="J30" s="4">
        <v>2400000</v>
      </c>
    </row>
    <row r="31" spans="1:10">
      <c r="A31" s="2">
        <v>30</v>
      </c>
      <c r="B31" s="2" t="s">
        <v>60</v>
      </c>
      <c r="C31" s="2" t="s">
        <v>35</v>
      </c>
      <c r="D31" s="2" t="s">
        <v>39</v>
      </c>
      <c r="E31" s="2" t="s">
        <v>20</v>
      </c>
      <c r="F31" s="2" t="s">
        <v>13</v>
      </c>
      <c r="G31" s="2" t="s">
        <v>61</v>
      </c>
      <c r="H31" s="3">
        <v>45748</v>
      </c>
      <c r="I31" s="4">
        <v>4000</v>
      </c>
      <c r="J31" s="4">
        <v>1230000</v>
      </c>
    </row>
  </sheetData>
  <phoneticPr fontId="4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1989-B97E-49EC-8BE7-1AC6D452C064}">
  <dimension ref="B1:E31"/>
  <sheetViews>
    <sheetView showGridLines="0" tabSelected="1" workbookViewId="0">
      <selection activeCell="E3" sqref="E3"/>
    </sheetView>
  </sheetViews>
  <sheetFormatPr defaultRowHeight="16.5"/>
  <cols>
    <col min="1" max="1" width="27.125" customWidth="1"/>
    <col min="2" max="2" width="15.875" style="1" customWidth="1"/>
    <col min="3" max="5" width="15.875" customWidth="1"/>
    <col min="7" max="7" width="9.125" bestFit="1" customWidth="1"/>
  </cols>
  <sheetData>
    <row r="1" spans="2:5" ht="21" thickBot="1">
      <c r="B1" s="19" t="s">
        <v>63</v>
      </c>
      <c r="C1" s="13"/>
      <c r="D1" s="13"/>
      <c r="E1" s="13"/>
    </row>
    <row r="2" spans="2:5" ht="15" customHeight="1" thickTop="1">
      <c r="B2" s="14"/>
      <c r="C2" s="15"/>
      <c r="D2" s="15"/>
      <c r="E2" s="15"/>
    </row>
    <row r="3" spans="2:5" ht="21" customHeight="1">
      <c r="D3" s="22" t="s">
        <v>62</v>
      </c>
      <c r="E3" s="23">
        <v>1</v>
      </c>
    </row>
    <row r="4" spans="2:5" ht="21" customHeight="1">
      <c r="B4" s="16" t="s">
        <v>5</v>
      </c>
      <c r="C4" s="17" t="s">
        <v>12</v>
      </c>
      <c r="D4" s="17" t="s">
        <v>20</v>
      </c>
      <c r="E4" s="18" t="s">
        <v>27</v>
      </c>
    </row>
    <row r="5" spans="2:5" ht="21" customHeight="1">
      <c r="B5" s="20" t="s">
        <v>13</v>
      </c>
      <c r="C5" s="21">
        <f>IFERROR(GETPIVOTDATA("영업실적",Sheet1!$A$3,"영업분야",C$4,"지역",$B5,"분기(납품일)",$E$3),0)</f>
        <v>0</v>
      </c>
      <c r="D5" s="21">
        <f>IFERROR(GETPIVOTDATA("영업실적",Sheet1!$A$3,"영업분야",D$4,"지역",$B5,"분기(납품일)",$E$3),0)</f>
        <v>0</v>
      </c>
      <c r="E5" s="21">
        <f>IFERROR(GETPIVOTDATA("영업실적",Sheet1!$A$3,"영업분야",E$4,"지역",$B5,"분기(납품일)",$E$3),0)</f>
        <v>0</v>
      </c>
    </row>
    <row r="6" spans="2:5" ht="21" customHeight="1">
      <c r="B6" s="20" t="s">
        <v>31</v>
      </c>
      <c r="C6" s="21">
        <f>IFERROR(GETPIVOTDATA("영업실적",Sheet1!$A$3,"영업분야",C$4,"지역",$B6,"분기(납품일)",$E$3),0)</f>
        <v>2450000</v>
      </c>
      <c r="D6" s="21">
        <f>IFERROR(GETPIVOTDATA("영업실적",Sheet1!$A$3,"영업분야",D$4,"지역",$B6,"분기(납품일)",$E$3),0)</f>
        <v>0</v>
      </c>
      <c r="E6" s="21">
        <f>IFERROR(GETPIVOTDATA("영업실적",Sheet1!$A$3,"영업분야",E$4,"지역",$B6,"분기(납품일)",$E$3),0)</f>
        <v>12000000</v>
      </c>
    </row>
    <row r="7" spans="2:5" ht="21" customHeight="1">
      <c r="B7" s="20" t="s">
        <v>36</v>
      </c>
      <c r="C7" s="21">
        <f>IFERROR(GETPIVOTDATA("영업실적",Sheet1!$A$3,"영업분야",C$4,"지역",$B7,"분기(납품일)",$E$3),0)</f>
        <v>0</v>
      </c>
      <c r="D7" s="21">
        <f>IFERROR(GETPIVOTDATA("영업실적",Sheet1!$A$3,"영업분야",D$4,"지역",$B7,"분기(납품일)",$E$3),0)</f>
        <v>0</v>
      </c>
      <c r="E7" s="21">
        <f>IFERROR(GETPIVOTDATA("영업실적",Sheet1!$A$3,"영업분야",E$4,"지역",$B7,"분기(납품일)",$E$3),0)</f>
        <v>11468000</v>
      </c>
    </row>
    <row r="8" spans="2:5" ht="21" customHeight="1">
      <c r="B8" s="20" t="s">
        <v>17</v>
      </c>
      <c r="C8" s="21">
        <f>IFERROR(GETPIVOTDATA("영업실적",Sheet1!$A$3,"영업분야",C$4,"지역",$B8,"분기(납품일)",$E$3),0)</f>
        <v>23000000</v>
      </c>
      <c r="D8" s="21">
        <f>IFERROR(GETPIVOTDATA("영업실적",Sheet1!$A$3,"영업분야",D$4,"지역",$B8,"분기(납품일)",$E$3),0)</f>
        <v>0</v>
      </c>
      <c r="E8" s="21">
        <f>IFERROR(GETPIVOTDATA("영업실적",Sheet1!$A$3,"영업분야",E$4,"지역",$B8,"분기(납품일)",$E$3),0)</f>
        <v>53000000</v>
      </c>
    </row>
    <row r="9" spans="2:5" ht="21" customHeight="1">
      <c r="B9" s="20" t="s">
        <v>23</v>
      </c>
      <c r="C9" s="21">
        <f>IFERROR(GETPIVOTDATA("영업실적",Sheet1!$A$3,"영업분야",C$4,"지역",$B9,"분기(납품일)",$E$3),0)</f>
        <v>0</v>
      </c>
      <c r="D9" s="21">
        <f>IFERROR(GETPIVOTDATA("영업실적",Sheet1!$A$3,"영업분야",D$4,"지역",$B9,"분기(납품일)",$E$3),0)</f>
        <v>0</v>
      </c>
      <c r="E9" s="21">
        <f>IFERROR(GETPIVOTDATA("영업실적",Sheet1!$A$3,"영업분야",E$4,"지역",$B9,"분기(납품일)",$E$3),0)</f>
        <v>45000000</v>
      </c>
    </row>
    <row r="10" spans="2:5">
      <c r="B10"/>
    </row>
    <row r="11" spans="2:5">
      <c r="B11"/>
    </row>
    <row r="12" spans="2:5">
      <c r="B12"/>
    </row>
    <row r="13" spans="2:5">
      <c r="B13"/>
    </row>
    <row r="14" spans="2:5">
      <c r="B14"/>
    </row>
    <row r="15" spans="2:5">
      <c r="B15"/>
    </row>
    <row r="16" spans="2:5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</sheetData>
  <sortState xmlns:xlrd2="http://schemas.microsoft.com/office/spreadsheetml/2017/richdata2" ref="B5:E9">
    <sortCondition ref="B5:B9"/>
  </sortState>
  <phoneticPr fontId="4" type="noConversion"/>
  <dataValidations count="1">
    <dataValidation type="list" allowBlank="1" showInputMessage="1" showErrorMessage="1" sqref="E3" xr:uid="{3423727E-C040-4267-872D-A9C65A89A0A7}">
      <formula1>"1,2,3,4"</formula1>
    </dataValidation>
  </dataValidation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매출정보</vt:lpstr>
      <vt:lpstr>보고자료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2025-08-09T14:56:35Z</dcterms:created>
  <dcterms:modified xsi:type="dcterms:W3CDTF">2025-11-27T13:37:11Z</dcterms:modified>
</cp:coreProperties>
</file>
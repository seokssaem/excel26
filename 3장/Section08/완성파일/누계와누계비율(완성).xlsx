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8_{A0EB7F69-B2D4-4455-9C89-26E772ADC488}" xr6:coauthVersionLast="47" xr6:coauthVersionMax="47" xr10:uidLastSave="{00000000-0000-0000-0000-000000000000}"/>
  <bookViews>
    <workbookView xWindow="-19310" yWindow="2410" windowWidth="19420" windowHeight="110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19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<sst xmlns="http://schemas.openxmlformats.org/spreadsheetml/2006/main" count="203" uniqueCount="72">
  <si>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</si>
  <si>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</si>
  <si>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</si>
  <si>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</si>
  <si>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</si>
  <si>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</si>
  <si>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</si>
  <si>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</si>
  <si>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</si>
  <si>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</si>
  <si>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</si>
  <si>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</si>
  <si>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</si>
  <si>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</si>
  <si>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</si>
  <si>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</si>
  <si>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</si>
  <si>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</si>
  <si>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</si>
  <si>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</si>
  <si>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</si>
  <si>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</si>
  <si>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</si>
  <si>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</si>
  <si>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</si>
  <si>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</si>
  <si>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</si>
  <si>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</si>
  <si>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</si>
  <si>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</si>
  <si>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</si>
  <si>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</si>
  <si>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</si>
  <si>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</si>
  <si>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</si>
  <si>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</si>
  <si>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</si>
  <si>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</si>
  <si>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</si>
  <si>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</si>
  <si>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</si>
  <si>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</si>
  <si>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</si>
  <si>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</si>
  <si>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</si>
  <si>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</si>
  <si>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</si>
  <si>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</si>
  <si>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</si>
  <si>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</si>
  <si>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</si>
  <si>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</si>
  <si>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</si>
  <si>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</si>
  <si>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</si>
  <si>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</si>
  <si>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</si>
  <si>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</si>
  <si>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</si>
  <si>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</si>
  <si>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</si>
  <si>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</si>
  <si>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총합계</t>
  </si>
  <si>
    <t>국내영업</t>
    <phoneticPr fontId="3" type="noConversion"/>
  </si>
  <si>
    <t>남</t>
  </si>
  <si>
    <t>여</t>
  </si>
  <si>
    <t>합계 : 납품수량</t>
  </si>
  <si>
    <t>합계 : 납품수량2</t>
  </si>
  <si>
    <t>합계 : 납품수량3</t>
  </si>
  <si>
    <t>1사분기</t>
  </si>
  <si>
    <t>2사분기</t>
  </si>
  <si>
    <t>3사분기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</si>
</sst>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1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/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  <fieldGroup par="10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  <cacheField name="분기(납품일)" numFmtId="0" databaseField="0">
      <fieldGroup base="7">
        <rangePr groupBy="quarters" startDate="2025-02-11T00:00:00" endDate="2025-07-21T00:00:00"/>
        <groupItems count="6">
          <s v="&lt;2025-02-11"/>
          <s v="1사분기"/>
          <s v="2사분기"/>
          <s v="3사분기"/>
          <s v="4사분기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s v="대리"/>
    <s v="영업관리"/>
    <x v="0"/>
    <s v="SEV"/>
    <x v="0"/>
    <n v="40000"/>
    <n v="23000000"/>
  </r>
  <r>
    <n v="2"/>
    <s v="정수란"/>
    <x v="0"/>
    <s v="사원"/>
    <s v="영업관리"/>
    <x v="1"/>
    <s v="SVI"/>
    <x v="1"/>
    <n v="20000"/>
    <n v="3400000"/>
  </r>
  <r>
    <n v="3"/>
    <s v="이시안"/>
    <x v="0"/>
    <s v="사원"/>
    <s v="컨설턴트"/>
    <x v="0"/>
    <s v="SEZ"/>
    <x v="2"/>
    <n v="13600"/>
    <n v="53000000"/>
  </r>
  <r>
    <n v="4"/>
    <s v="최지영"/>
    <x v="0"/>
    <s v="대리"/>
    <s v="컨설턴트"/>
    <x v="2"/>
    <s v="SEZ"/>
    <x v="3"/>
    <n v="20000"/>
    <n v="23400000"/>
  </r>
  <r>
    <n v="5"/>
    <s v="이성경"/>
    <x v="0"/>
    <s v="사원"/>
    <s v="영업관리"/>
    <x v="2"/>
    <s v="TSO"/>
    <x v="2"/>
    <n v="40000"/>
    <n v="34000000"/>
  </r>
  <r>
    <n v="6"/>
    <s v="이경미"/>
    <x v="0"/>
    <s v="대리"/>
    <s v="국내영업"/>
    <x v="0"/>
    <s v="SVT"/>
    <x v="2"/>
    <n v="23000"/>
    <n v="34000000"/>
  </r>
  <r>
    <n v="7"/>
    <s v="최소라"/>
    <x v="0"/>
    <s v="부장"/>
    <s v="영업관리"/>
    <x v="3"/>
    <s v="SVT"/>
    <x v="4"/>
    <n v="25000"/>
    <n v="2450000"/>
  </r>
  <r>
    <n v="8"/>
    <s v="김은정"/>
    <x v="0"/>
    <s v="차장"/>
    <s v="국내영업"/>
    <x v="3"/>
    <s v="SEZ"/>
    <x v="5"/>
    <n v="36000"/>
    <n v="12000000"/>
  </r>
  <r>
    <n v="9"/>
    <s v="원서준"/>
    <x v="1"/>
    <s v="부장"/>
    <s v="국내영업"/>
    <x v="4"/>
    <s v="SEZ"/>
    <x v="6"/>
    <n v="93000"/>
    <n v="6234000"/>
  </r>
  <r>
    <n v="10"/>
    <s v="채소연"/>
    <x v="0"/>
    <s v="부장"/>
    <s v="국내영업"/>
    <x v="4"/>
    <s v="SEZ"/>
    <x v="7"/>
    <n v="20000"/>
    <n v="5234000"/>
  </r>
  <r>
    <n v="11"/>
    <s v="정유진"/>
    <x v="0"/>
    <s v="과장"/>
    <s v="국내영업"/>
    <x v="1"/>
    <s v="SEZ"/>
    <x v="7"/>
    <n v="59200"/>
    <n v="53000000"/>
  </r>
  <r>
    <n v="12"/>
    <s v="홍길동"/>
    <x v="1"/>
    <s v="부장"/>
    <s v="영업관리"/>
    <x v="1"/>
    <s v="SEZ"/>
    <x v="7"/>
    <n v="82000"/>
    <n v="23000000"/>
  </r>
  <r>
    <n v="13"/>
    <s v="김기연"/>
    <x v="1"/>
    <s v="차장"/>
    <s v="국내영업"/>
    <x v="2"/>
    <s v="TSO"/>
    <x v="4"/>
    <n v="4000"/>
    <n v="45000000"/>
  </r>
  <r>
    <n v="14"/>
    <s v="김현정"/>
    <x v="0"/>
    <s v="대리"/>
    <s v="국내영업"/>
    <x v="2"/>
    <s v="SEV"/>
    <x v="8"/>
    <n v="50000"/>
    <n v="45000000"/>
  </r>
  <r>
    <n v="15"/>
    <s v="고숭녕"/>
    <x v="1"/>
    <s v="대리"/>
    <s v="국내영업"/>
    <x v="2"/>
    <s v="SEZ"/>
    <x v="2"/>
    <n v="11200"/>
    <n v="33500000"/>
  </r>
  <r>
    <n v="16"/>
    <s v="조홍제"/>
    <x v="1"/>
    <s v="사원"/>
    <s v="국내영업"/>
    <x v="0"/>
    <s v="SEZ"/>
    <x v="2"/>
    <n v="4000"/>
    <n v="3400000"/>
  </r>
  <r>
    <n v="17"/>
    <s v="박국희"/>
    <x v="0"/>
    <s v="과장"/>
    <s v="국내영업"/>
    <x v="1"/>
    <s v="SEZ"/>
    <x v="9"/>
    <n v="41200"/>
    <n v="26200000"/>
  </r>
  <r>
    <n v="18"/>
    <s v="한우석"/>
    <x v="1"/>
    <s v="과장"/>
    <s v="국내영업"/>
    <x v="1"/>
    <s v="SEZ"/>
    <x v="10"/>
    <n v="80000"/>
    <n v="5250000"/>
  </r>
  <r>
    <n v="19"/>
    <s v="박슬기"/>
    <x v="0"/>
    <s v="대리"/>
    <s v="국내영업"/>
    <x v="3"/>
    <s v="SVT"/>
    <x v="11"/>
    <n v="24000"/>
    <n v="23400000"/>
  </r>
  <r>
    <n v="20"/>
    <s v="안정훈"/>
    <x v="1"/>
    <s v="과장"/>
    <s v="컨설턴트"/>
    <x v="0"/>
    <s v="SVT"/>
    <x v="10"/>
    <n v="26400"/>
    <n v="2340000"/>
  </r>
  <r>
    <n v="21"/>
    <s v="최준기"/>
    <x v="1"/>
    <s v="과장"/>
    <s v="컨설턴트"/>
    <x v="4"/>
    <s v="SVT"/>
    <x v="12"/>
    <n v="55000"/>
    <n v="36000000"/>
  </r>
  <r>
    <n v="22"/>
    <s v="이한구"/>
    <x v="1"/>
    <s v="부장"/>
    <s v="영업관리"/>
    <x v="3"/>
    <s v="SEZ"/>
    <x v="9"/>
    <n v="4000"/>
    <n v="24500000"/>
  </r>
  <r>
    <n v="23"/>
    <s v="오명근"/>
    <x v="1"/>
    <s v="사원"/>
    <s v="영업관리"/>
    <x v="1"/>
    <s v="SVT"/>
    <x v="13"/>
    <n v="12000"/>
    <n v="34000000"/>
  </r>
  <r>
    <n v="24"/>
    <s v="김형호"/>
    <x v="1"/>
    <s v="사원"/>
    <s v="영업관리"/>
    <x v="4"/>
    <s v="SEZ"/>
    <x v="14"/>
    <n v="77000"/>
    <n v="53000000"/>
  </r>
  <r>
    <n v="25"/>
    <s v="이희훈"/>
    <x v="0"/>
    <s v="대리"/>
    <s v="컨설턴트"/>
    <x v="4"/>
    <s v="SVT"/>
    <x v="0"/>
    <n v="76000"/>
    <n v="5300000"/>
  </r>
  <r>
    <n v="26"/>
    <s v="고원지"/>
    <x v="0"/>
    <s v="사원"/>
    <s v="컨설턴트"/>
    <x v="4"/>
    <s v="SEZ"/>
    <x v="15"/>
    <n v="33000"/>
    <n v="3245000"/>
  </r>
  <r>
    <n v="27"/>
    <s v="한재호"/>
    <x v="1"/>
    <s v="사원"/>
    <s v="컨설턴트"/>
    <x v="1"/>
    <s v="TSO"/>
    <x v="16"/>
    <n v="8000"/>
    <n v="36000000"/>
  </r>
  <r>
    <n v="28"/>
    <s v="조예준"/>
    <x v="1"/>
    <s v="대리"/>
    <s v="영업관리"/>
    <x v="2"/>
    <s v="TSO"/>
    <x v="2"/>
    <n v="45000"/>
    <n v="13000000"/>
  </r>
  <r>
    <n v="29"/>
    <s v="김소훈"/>
    <x v="0"/>
    <s v="과장"/>
    <s v="컨설턴트"/>
    <x v="0"/>
    <s v="SEV"/>
    <x v="9"/>
    <n v="10000"/>
    <n v="2400000"/>
  </r>
  <r>
    <n v="30"/>
    <s v="원성현"/>
    <x v="1"/>
    <s v="과장"/>
    <s v="컨설턴트"/>
    <x v="0"/>
    <s v="TST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19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D12" firstHeaderRow="0" firstDataRow="1" firstDataCol="1"/>
  <pivotFields count="11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>
      <items count="19">
        <item x="6"/>
        <item x="7"/>
        <item x="4"/>
        <item x="5"/>
        <item x="17"/>
        <item x="11"/>
        <item x="9"/>
        <item x="10"/>
        <item x="12"/>
        <item x="3"/>
        <item x="8"/>
        <item x="2"/>
        <item x="16"/>
        <item x="15"/>
        <item x="14"/>
        <item x="13"/>
        <item x="0"/>
        <item x="1"/>
        <item t="default"/>
      </items>
    </pivotField>
    <pivotField dataField="1" numFmtId="41" showAll="0"/>
    <pivotField numFmtId="4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10"/>
  </rowFields>
  <rowItems count="9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납품수량" fld="8" baseField="0" baseItem="0"/>
    <dataField name="합계 : 납품수량2" fld="8" showDataAs="runTotal" baseField="10" baseItem="0"/>
    <dataField name="합계 : 납품수량3" fld="8" baseField="1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D12"/>
  <sheetViews>
    <sheetView tabSelected="1" workbookViewId="0">
      <selection activeCell="D5" sqref="D5"/>
    </sheetView>
  </sheetViews>
  <sheetFormatPr defaultRowHeight="17"/>
  <cols>
    <col min="1" max="1" width="12.25" bestFit="1" customWidth="1"/>
    <col min="2" max="2" width="14.5" bestFit="1" customWidth="1"/>
    <col min="3" max="4" width="15.6640625" bestFit="1" customWidth="1"/>
  </cols>
  <sheetData>
    <row r="3" spans="1:4">
      <c r="A3" s="22" t="s">
        <v>5</v>
      </c>
      <c r="B3" t="s">
        <v>66</v>
      </c>
      <c r="C3" t="s">
        <v>67</v>
      </c>
      <c r="D3" t="s">
        <v>68</v>
      </c>
    </row>
    <row r="4" spans="1:4">
      <c r="A4" s="23" t="s">
        <v>64</v>
      </c>
      <c r="B4" s="21">
        <v>505600</v>
      </c>
      <c r="C4" s="21"/>
      <c r="D4" s="24"/>
    </row>
    <row r="5" spans="1:4">
      <c r="A5" s="25" t="s">
        <v>69</v>
      </c>
      <c r="B5" s="21">
        <v>179000</v>
      </c>
      <c r="C5" s="21">
        <v>179000</v>
      </c>
      <c r="D5" s="24">
        <v>0.35403481012658228</v>
      </c>
    </row>
    <row r="6" spans="1:4">
      <c r="A6" s="25" t="s">
        <v>70</v>
      </c>
      <c r="B6" s="21">
        <v>314600</v>
      </c>
      <c r="C6" s="21">
        <v>493600</v>
      </c>
      <c r="D6" s="24">
        <v>0.97626582278481011</v>
      </c>
    </row>
    <row r="7" spans="1:4">
      <c r="A7" s="25" t="s">
        <v>71</v>
      </c>
      <c r="B7" s="21">
        <v>12000</v>
      </c>
      <c r="C7" s="21">
        <v>505600</v>
      </c>
      <c r="D7" s="24">
        <v>1</v>
      </c>
    </row>
    <row r="8" spans="1:4">
      <c r="A8" s="23" t="s">
        <v>65</v>
      </c>
      <c r="B8" s="21">
        <v>531000</v>
      </c>
      <c r="C8" s="21"/>
      <c r="D8" s="24"/>
    </row>
    <row r="9" spans="1:4">
      <c r="A9" s="25" t="s">
        <v>69</v>
      </c>
      <c r="B9" s="21">
        <v>140200</v>
      </c>
      <c r="C9" s="21">
        <v>140200</v>
      </c>
      <c r="D9" s="24">
        <v>0.26403013182674201</v>
      </c>
    </row>
    <row r="10" spans="1:4">
      <c r="A10" s="25" t="s">
        <v>70</v>
      </c>
      <c r="B10" s="21">
        <v>254800</v>
      </c>
      <c r="C10" s="21">
        <v>395000</v>
      </c>
      <c r="D10" s="24">
        <v>0.74387947269303201</v>
      </c>
    </row>
    <row r="11" spans="1:4">
      <c r="A11" s="25" t="s">
        <v>71</v>
      </c>
      <c r="B11" s="21">
        <v>136000</v>
      </c>
      <c r="C11" s="21">
        <v>531000</v>
      </c>
      <c r="D11" s="24">
        <v>1</v>
      </c>
    </row>
    <row r="12" spans="1:4">
      <c r="A12" s="23" t="s">
        <v>62</v>
      </c>
      <c r="B12" s="21">
        <v>1036600</v>
      </c>
      <c r="C12" s="21"/>
      <c r="D12" s="2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7"/>
  <cols>
    <col min="1" max="1" width="5.5" style="6" customWidth="1"/>
    <col min="2" max="2" width="10.25" style="6" customWidth="1"/>
    <col min="3" max="3" width="5.582031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08203125" style="18" bestFit="1" customWidth="1"/>
    <col min="9" max="9" width="10.8320312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63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2025-08-09T07:51:29Z</dcterms:created>
  <dcterms:modified xsi:type="dcterms:W3CDTF">2025-08-09T13:41:37Z</dcterms:modified>
</cp:coreProperties>
</file>
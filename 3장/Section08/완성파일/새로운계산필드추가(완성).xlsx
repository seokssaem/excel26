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19DE8565-F3EB-4FAB-90B7-9382CCCF2771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2" sheetId="3" r:id="rId1"/>
    <sheet name="Sheet1" sheetId="2" r:id="rId2"/>
    <sheet name="매출정보" sheetId="1" r:id="rId3"/>
  </sheets>
  <definedNames>
    <definedName name="_xlnm._FilterDatabase" localSheetId="2" hidden="1">매출정보!$A$1:$K$31</definedName>
  </definedNames>
  <calcPr calcId="191029"/>
  <pivotCaches>
    <pivotCache cacheId="7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<sst xmlns="http://schemas.openxmlformats.org/spreadsheetml/2006/main" count="225" uniqueCount="81">
  <si>
    <t>담당사원</t>
    <phoneticPr fontId="3" type="noConversion"/>
  </si>
  <si>
    <t>입사일</t>
    <phoneticPr fontId="3" type="noConversion"/>
  </si>
  <si>
    <t>직위</t>
    <phoneticPr fontId="5" type="noConversion"/>
  </si>
  <si>
    <t>영업분야</t>
  </si>
  <si>
    <t>유형</t>
    <phoneticPr fontId="5" type="noConversion"/>
  </si>
  <si>
    <t>납품수량</t>
    <phoneticPr fontId="5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</si>
  <si>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</si>
  <si>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</si>
  <si>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</si>
  <si>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</si>
  <si>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</si>
  <si>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</si>
  <si>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</si>
  <si>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</si>
  <si>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</si>
  <si>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</si>
  <si>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</si>
  <si>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</si>
  <si>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</si>
  <si>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</si>
  <si>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</si>
  <si>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</si>
  <si>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</si>
  <si>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</si>
  <si>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</si>
  <si>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</si>
  <si>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</si>
  <si>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</si>
  <si>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</si>
  <si>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</si>
  <si>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</si>
  <si>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</si>
  <si>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</si>
  <si>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</si>
  <si>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</si>
  <si>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</si>
  <si>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</si>
  <si>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</si>
  <si>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</si>
  <si>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</si>
  <si>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</si>
  <si>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</si>
  <si>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</si>
  <si>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</si>
  <si>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</si>
  <si>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</si>
  <si>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</si>
  <si>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</si>
  <si>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</si>
  <si>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</si>
  <si>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</si>
  <si>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</si>
  <si>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</si>
  <si>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</si>
  <si>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</si>
  <si>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</si>
  <si>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</si>
  <si>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</si>
  <si>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</si>
  <si>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</si>
  <si>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수량합계</t>
  </si>
  <si>
    <t>실적합계</t>
  </si>
  <si>
    <t>영업실적</t>
    <phoneticPr fontId="3" type="noConversion"/>
  </si>
  <si>
    <t>지역</t>
    <phoneticPr fontId="3" type="noConversion"/>
  </si>
  <si>
    <t>영업분야</t>
    <phoneticPr fontId="3" type="noConversion"/>
  </si>
  <si>
    <t>성별</t>
    <phoneticPr fontId="3" type="noConversion"/>
  </si>
  <si>
    <t>나이</t>
    <phoneticPr fontId="3" type="noConversion"/>
  </si>
  <si>
    <t>합계 : 단가</t>
  </si>
  <si>
    <t>계산 필드</t>
  </si>
  <si>
    <t>계산 순서</t>
  </si>
  <si>
    <t>필드</t>
  </si>
  <si>
    <t>수식</t>
  </si>
  <si>
    <t>단가</t>
  </si>
  <si>
    <t>=영업실적/납품수량</t>
  </si>
  <si>
    <t>계산 항목</t>
  </si>
  <si>
    <t>항목</t>
  </si>
  <si>
    <t>참고:</t>
  </si>
  <si>
    <t>한 셀이 여러 개의 수식으로 업데이트되면</t>
  </si>
  <si>
    <t>계산 순서가 맨 마지막인 수식으로 값이 설정됩니다.</t>
  </si>
  <si>
    <t>여러 계산된 항목 또는 필드의 계산 순서를 변경하려면</t>
  </si>
  <si>
    <t>[옵션] 탭의 [계산] 그룹에서 [필드, 항목 및 집합]을 클릭한 다음 [계산 순서]를 클릭하십시오.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</si>
</sst>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9" fillId="0" borderId="0" xfId="0" applyFont="1">
      <alignment vertical="center"/>
    </xf>
    <xf numFmtId="0" fontId="8" fillId="0" borderId="6" xfId="0" applyFont="1" applyBorder="1">
      <alignment vertical="center"/>
    </xf>
  </cellXfs>
  <cellStyles count="2">
    <cellStyle name="쉼표 [0]" xfId="1" builtinId="6"/>
    <cellStyle name="표준" xfId="0" builtinId="0"/>
  </cellStyles>
  <dxfs count="5">
    <dxf>
      <numFmt numFmtId="3" formatCode="#,##0"/>
    </dxf>
    <dxf>
      <alignment horizontal="center"/>
    </dxf>
    <dxf>
      <numFmt numFmtId="3" formatCode="#,##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939612847222" createdVersion="8" refreshedVersion="8" minRefreshableVersion="3" recordCount="30" xr:uid="{EB14BBB5-7836-42FE-BC3D-37DCC6BACB2B}">
  <cacheSource type="worksheet">
    <worksheetSource ref="A1:K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/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/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영업실적" numFmtId="41">
      <sharedItems containsSemiMixedTypes="0" containsString="0" containsNumber="1" containsInteger="1" minValue="1230000" maxValue="53000000"/>
    </cacheField>
    <cacheField name="단가" numFmtId="0" formula="영업실적/납품수량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s v="여"/>
    <x v="0"/>
    <x v="0"/>
    <s v="광주"/>
    <s v="SEV"/>
    <n v="40000"/>
    <n v="23000000"/>
  </r>
  <r>
    <n v="2"/>
    <s v="정수란"/>
    <d v="2019-10-10T00:00:00"/>
    <n v="23"/>
    <s v="여"/>
    <x v="1"/>
    <x v="0"/>
    <s v="부산"/>
    <s v="SVI"/>
    <n v="20000"/>
    <n v="3400000"/>
  </r>
  <r>
    <n v="3"/>
    <s v="오명근"/>
    <d v="2022-10-10T00:00:00"/>
    <n v="23"/>
    <s v="남"/>
    <x v="1"/>
    <x v="0"/>
    <s v="부산"/>
    <s v="SVT"/>
    <n v="12000"/>
    <n v="34000000"/>
  </r>
  <r>
    <n v="4"/>
    <s v="김형호"/>
    <d v="2021-11-29T00:00:00"/>
    <n v="25"/>
    <s v="남"/>
    <x v="1"/>
    <x v="0"/>
    <s v="목포"/>
    <s v="SEZ"/>
    <n v="77000"/>
    <n v="53000000"/>
  </r>
  <r>
    <n v="5"/>
    <s v="이희훈"/>
    <d v="2020-09-01T00:00:00"/>
    <n v="26"/>
    <s v="여"/>
    <x v="0"/>
    <x v="1"/>
    <s v="목포"/>
    <s v="SVT"/>
    <n v="76000"/>
    <n v="5300000"/>
  </r>
  <r>
    <n v="6"/>
    <s v="고원지"/>
    <d v="2019-09-03T00:00:00"/>
    <n v="27"/>
    <s v="여"/>
    <x v="1"/>
    <x v="1"/>
    <s v="목포"/>
    <s v="SEZ"/>
    <n v="33000"/>
    <n v="3245000"/>
  </r>
  <r>
    <n v="7"/>
    <s v="한재호"/>
    <d v="2018-12-02T00:00:00"/>
    <n v="29"/>
    <s v="남"/>
    <x v="1"/>
    <x v="1"/>
    <s v="부산"/>
    <s v="TSO"/>
    <n v="8000"/>
    <n v="36000000"/>
  </r>
  <r>
    <n v="8"/>
    <s v="조예준"/>
    <d v="2018-10-02T00:00:00"/>
    <n v="34"/>
    <s v="남"/>
    <x v="0"/>
    <x v="0"/>
    <s v="서울"/>
    <s v="TSO"/>
    <n v="45000"/>
    <n v="13000000"/>
  </r>
  <r>
    <n v="9"/>
    <s v="이시안"/>
    <d v="2019-10-11T00:00:00"/>
    <n v="34"/>
    <s v="여"/>
    <x v="1"/>
    <x v="1"/>
    <s v="광주"/>
    <s v="SEZ"/>
    <n v="13600"/>
    <n v="53000000"/>
  </r>
  <r>
    <n v="10"/>
    <s v="최지영"/>
    <d v="2023-06-13T00:00:00"/>
    <n v="35"/>
    <s v="여"/>
    <x v="0"/>
    <x v="1"/>
    <s v="서울"/>
    <s v="SEZ"/>
    <n v="20000"/>
    <n v="23400000"/>
  </r>
  <r>
    <n v="11"/>
    <s v="이성경"/>
    <d v="2019-09-03T00:00:00"/>
    <n v="35"/>
    <s v="여"/>
    <x v="1"/>
    <x v="0"/>
    <s v="서울"/>
    <s v="TSO"/>
    <n v="40000"/>
    <n v="34000000"/>
  </r>
  <r>
    <n v="12"/>
    <s v="이경미"/>
    <d v="2020-09-07T00:00:00"/>
    <n v="36"/>
    <s v="여"/>
    <x v="0"/>
    <x v="2"/>
    <s v="광주"/>
    <s v="SVT"/>
    <n v="23000"/>
    <n v="34000000"/>
  </r>
  <r>
    <n v="13"/>
    <s v="김현정"/>
    <d v="2021-11-29T00:00:00"/>
    <n v="37"/>
    <s v="여"/>
    <x v="0"/>
    <x v="2"/>
    <s v="서울"/>
    <s v="SEV"/>
    <n v="50000"/>
    <n v="45000000"/>
  </r>
  <r>
    <n v="14"/>
    <s v="고숭녕"/>
    <d v="2019-11-29T00:00:00"/>
    <n v="37"/>
    <s v="남"/>
    <x v="0"/>
    <x v="2"/>
    <s v="서울"/>
    <s v="SEZ"/>
    <n v="11200"/>
    <n v="33500000"/>
  </r>
  <r>
    <n v="15"/>
    <s v="조홍제"/>
    <d v="2022-12-15T00:00:00"/>
    <n v="38"/>
    <s v="남"/>
    <x v="1"/>
    <x v="2"/>
    <s v="광주"/>
    <s v="SEZ"/>
    <n v="4000"/>
    <n v="3400000"/>
  </r>
  <r>
    <n v="16"/>
    <s v="박국희"/>
    <d v="2020-08-07T00:00:00"/>
    <n v="39"/>
    <s v="여"/>
    <x v="2"/>
    <x v="2"/>
    <s v="부산"/>
    <s v="SEZ"/>
    <n v="41200"/>
    <n v="26200000"/>
  </r>
  <r>
    <n v="17"/>
    <s v="한우석"/>
    <d v="2021-08-07T00:00:00"/>
    <n v="39"/>
    <s v="남"/>
    <x v="2"/>
    <x v="2"/>
    <s v="부산"/>
    <s v="SEZ"/>
    <n v="80000"/>
    <n v="5250000"/>
  </r>
  <r>
    <n v="18"/>
    <s v="김소훈"/>
    <d v="2022-12-31T00:00:00"/>
    <n v="41"/>
    <s v="여"/>
    <x v="2"/>
    <x v="1"/>
    <s v="부산"/>
    <s v="SEV"/>
    <n v="10000"/>
    <n v="2400000"/>
  </r>
  <r>
    <n v="19"/>
    <s v="원성현"/>
    <d v="2020-12-31T00:00:00"/>
    <n v="45"/>
    <s v="남"/>
    <x v="2"/>
    <x v="1"/>
    <s v="부산"/>
    <s v="TST"/>
    <n v="4000"/>
    <n v="1230000"/>
  </r>
  <r>
    <n v="20"/>
    <s v="박슬기"/>
    <d v="2018-08-28T00:00:00"/>
    <n v="43"/>
    <s v="여"/>
    <x v="0"/>
    <x v="2"/>
    <s v="대전"/>
    <s v="SVT"/>
    <n v="24000"/>
    <n v="23400000"/>
  </r>
  <r>
    <n v="21"/>
    <s v="안정훈"/>
    <d v="2019-05-10T00:00:00"/>
    <n v="46"/>
    <s v="남"/>
    <x v="2"/>
    <x v="1"/>
    <s v="광주"/>
    <s v="SVT"/>
    <n v="26400"/>
    <n v="2340000"/>
  </r>
  <r>
    <n v="22"/>
    <s v="최준기"/>
    <d v="2019-10-06T00:00:00"/>
    <n v="47"/>
    <s v="남"/>
    <x v="2"/>
    <x v="1"/>
    <s v="목포"/>
    <s v="SVT"/>
    <n v="55000"/>
    <n v="36000000"/>
  </r>
  <r>
    <n v="23"/>
    <s v="이한구"/>
    <d v="2019-05-06T00:00:00"/>
    <n v="50"/>
    <s v="남"/>
    <x v="3"/>
    <x v="0"/>
    <s v="대전"/>
    <s v="SEZ"/>
    <n v="4000"/>
    <n v="24500000"/>
  </r>
  <r>
    <n v="24"/>
    <s v="최소라"/>
    <d v="2020-05-06T00:00:00"/>
    <n v="50"/>
    <s v="여"/>
    <x v="3"/>
    <x v="0"/>
    <s v="대전"/>
    <s v="SVT"/>
    <n v="25000"/>
    <n v="2450000"/>
  </r>
  <r>
    <n v="25"/>
    <s v="김은정"/>
    <d v="2018-12-07T00:00:00"/>
    <n v="59"/>
    <s v="여"/>
    <x v="4"/>
    <x v="2"/>
    <s v="대전"/>
    <s v="SEZ"/>
    <n v="36000"/>
    <n v="12000000"/>
  </r>
  <r>
    <n v="26"/>
    <s v="원서준"/>
    <d v="2020-10-22T00:00:00"/>
    <n v="55"/>
    <s v="남"/>
    <x v="3"/>
    <x v="2"/>
    <s v="목포"/>
    <s v="SEZ"/>
    <n v="93000"/>
    <n v="6234000"/>
  </r>
  <r>
    <n v="27"/>
    <s v="채소연"/>
    <d v="2022-10-22T00:00:00"/>
    <n v="52"/>
    <s v="여"/>
    <x v="3"/>
    <x v="2"/>
    <s v="목포"/>
    <s v="SEZ"/>
    <n v="20000"/>
    <n v="5234000"/>
  </r>
  <r>
    <n v="28"/>
    <s v="정유진"/>
    <d v="2020-08-07T00:00:00"/>
    <n v="58"/>
    <s v="여"/>
    <x v="2"/>
    <x v="2"/>
    <s v="부산"/>
    <s v="SEZ"/>
    <n v="59200"/>
    <n v="53000000"/>
  </r>
  <r>
    <n v="29"/>
    <s v="홍길동"/>
    <d v="2019-02-07T00:00:00"/>
    <n v="46"/>
    <s v="남"/>
    <x v="3"/>
    <x v="0"/>
    <s v="부산"/>
    <s v="SEZ"/>
    <n v="82000"/>
    <n v="23000000"/>
  </r>
  <r>
    <n v="30"/>
    <s v="김기연"/>
    <d v="2020-11-29T00:00:00"/>
    <n v="48"/>
    <s v="남"/>
    <x v="4"/>
    <x v="2"/>
    <s v="서울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52466-0474-4E32-877F-C23703D488A7}" name="피벗 테이블5" cacheId="7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영업분야">
  <location ref="A3:D18" firstHeaderRow="0" firstDataRow="1" firstDataCol="1"/>
  <pivotFields count="12">
    <pivotField showAll="0"/>
    <pivotField showAll="0"/>
    <pivotField numFmtId="14"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numFmtId="41" showAll="0"/>
    <pivotField dataField="1" numFmtId="41" showAll="0"/>
    <pivotField dataField="1" dragToRow="0" dragToCol="0" dragToPage="0" showAll="0" defaultSubtotal="0"/>
  </pivotFields>
  <rowFields count="2">
    <field x="6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수량합계" fld="9" baseField="0" baseItem="0" numFmtId="3"/>
    <dataField name="실적합계" fld="10" baseField="0" baseItem="0" numFmtId="3"/>
    <dataField name="합계 : 단가" fld="11" baseField="0" baseItem="0" numFmtId="41"/>
  </dataFields>
  <formats count="5">
    <format dxfId="4">
      <pivotArea field="6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5400-B110-4D55-BA9B-3350AD4B2A26}">
  <dimension ref="A1:C13"/>
  <sheetViews>
    <sheetView tabSelected="1" workbookViewId="0"/>
  </sheetViews>
  <sheetFormatPr defaultRowHeight="17"/>
  <cols>
    <col min="1" max="1" width="10.1640625" bestFit="1" customWidth="1"/>
    <col min="2" max="2" width="5" bestFit="1" customWidth="1"/>
    <col min="3" max="3" width="18.4140625" bestFit="1" customWidth="1"/>
  </cols>
  <sheetData>
    <row r="1" spans="1:3">
      <c r="A1" s="28" t="s">
        <v>68</v>
      </c>
    </row>
    <row r="2" spans="1:3">
      <c r="A2" s="29" t="s">
        <v>69</v>
      </c>
      <c r="B2" s="29" t="s">
        <v>70</v>
      </c>
      <c r="C2" s="29" t="s">
        <v>71</v>
      </c>
    </row>
    <row r="3" spans="1:3">
      <c r="A3">
        <v>1</v>
      </c>
      <c r="B3" t="s">
        <v>72</v>
      </c>
      <c r="C3" t="s">
        <v>73</v>
      </c>
    </row>
    <row r="5" spans="1:3">
      <c r="A5" s="28" t="s">
        <v>74</v>
      </c>
    </row>
    <row r="6" spans="1:3">
      <c r="A6" s="29" t="s">
        <v>69</v>
      </c>
      <c r="B6" s="29" t="s">
        <v>75</v>
      </c>
      <c r="C6" s="29" t="s">
        <v>71</v>
      </c>
    </row>
    <row r="9" spans="1:3">
      <c r="A9" s="28" t="s">
        <v>76</v>
      </c>
      <c r="B9" t="s">
        <v>77</v>
      </c>
    </row>
    <row r="10" spans="1:3">
      <c r="B10" t="s">
        <v>78</v>
      </c>
    </row>
    <row r="12" spans="1:3">
      <c r="B12" t="s">
        <v>79</v>
      </c>
    </row>
    <row r="13" spans="1:3">
      <c r="B13" t="s">
        <v>80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EC8-83A7-4841-9792-50BDED283E88}">
  <dimension ref="A3:D18"/>
  <sheetViews>
    <sheetView workbookViewId="0">
      <selection activeCell="D7" sqref="D7"/>
    </sheetView>
  </sheetViews>
  <sheetFormatPr defaultRowHeight="17"/>
  <cols>
    <col min="1" max="1" width="12.83203125" bestFit="1" customWidth="1"/>
    <col min="2" max="2" width="9.9140625" bestFit="1" customWidth="1"/>
    <col min="3" max="3" width="12.25" bestFit="1" customWidth="1"/>
    <col min="4" max="4" width="10.58203125" bestFit="1" customWidth="1"/>
  </cols>
  <sheetData>
    <row r="3" spans="1:4">
      <c r="A3" s="24" t="s">
        <v>3</v>
      </c>
      <c r="B3" s="25" t="s">
        <v>60</v>
      </c>
      <c r="C3" s="25" t="s">
        <v>61</v>
      </c>
      <c r="D3" t="s">
        <v>67</v>
      </c>
    </row>
    <row r="4" spans="1:4">
      <c r="A4" s="22" t="s">
        <v>14</v>
      </c>
      <c r="B4" s="26">
        <v>445600</v>
      </c>
      <c r="C4" s="26">
        <v>292218000</v>
      </c>
      <c r="D4" s="27">
        <v>655.78545780969478</v>
      </c>
    </row>
    <row r="5" spans="1:4">
      <c r="A5" s="23" t="s">
        <v>17</v>
      </c>
      <c r="B5" s="26">
        <v>180400</v>
      </c>
      <c r="C5" s="26">
        <v>84450000</v>
      </c>
      <c r="D5" s="27">
        <v>468.12638580931264</v>
      </c>
    </row>
    <row r="6" spans="1:4">
      <c r="A6" s="23" t="s">
        <v>11</v>
      </c>
      <c r="B6" s="26">
        <v>108200</v>
      </c>
      <c r="C6" s="26">
        <v>135900000</v>
      </c>
      <c r="D6" s="27">
        <v>1256.007393715342</v>
      </c>
    </row>
    <row r="7" spans="1:4">
      <c r="A7" s="23" t="s">
        <v>27</v>
      </c>
      <c r="B7" s="26">
        <v>113000</v>
      </c>
      <c r="C7" s="26">
        <v>11468000</v>
      </c>
      <c r="D7" s="27">
        <v>101.48672566371681</v>
      </c>
    </row>
    <row r="8" spans="1:4">
      <c r="A8" s="23" t="s">
        <v>7</v>
      </c>
      <c r="B8" s="26">
        <v>4000</v>
      </c>
      <c r="C8" s="26">
        <v>3400000</v>
      </c>
      <c r="D8" s="27">
        <v>850</v>
      </c>
    </row>
    <row r="9" spans="1:4">
      <c r="A9" s="23" t="s">
        <v>31</v>
      </c>
      <c r="B9" s="26">
        <v>40000</v>
      </c>
      <c r="C9" s="26">
        <v>57000000</v>
      </c>
      <c r="D9" s="27">
        <v>1425</v>
      </c>
    </row>
    <row r="10" spans="1:4">
      <c r="A10" s="22" t="s">
        <v>25</v>
      </c>
      <c r="B10" s="26">
        <v>345000</v>
      </c>
      <c r="C10" s="26">
        <v>210350000</v>
      </c>
      <c r="D10" s="27">
        <v>609.71014492753625</v>
      </c>
    </row>
    <row r="11" spans="1:4">
      <c r="A11" s="23" t="s">
        <v>11</v>
      </c>
      <c r="B11" s="26">
        <v>85000</v>
      </c>
      <c r="C11" s="26">
        <v>36000000</v>
      </c>
      <c r="D11" s="27">
        <v>423.52941176470586</v>
      </c>
    </row>
    <row r="12" spans="1:4">
      <c r="A12" s="23" t="s">
        <v>27</v>
      </c>
      <c r="B12" s="26">
        <v>111000</v>
      </c>
      <c r="C12" s="26">
        <v>49950000</v>
      </c>
      <c r="D12" s="27">
        <v>450</v>
      </c>
    </row>
    <row r="13" spans="1:4">
      <c r="A13" s="23" t="s">
        <v>7</v>
      </c>
      <c r="B13" s="26">
        <v>149000</v>
      </c>
      <c r="C13" s="26">
        <v>124400000</v>
      </c>
      <c r="D13" s="27">
        <v>834.89932885906035</v>
      </c>
    </row>
    <row r="14" spans="1:4">
      <c r="A14" s="22" t="s">
        <v>19</v>
      </c>
      <c r="B14" s="26">
        <v>246000</v>
      </c>
      <c r="C14" s="26">
        <v>162915000</v>
      </c>
      <c r="D14" s="27">
        <v>662.2560975609756</v>
      </c>
    </row>
    <row r="15" spans="1:4">
      <c r="A15" s="23" t="s">
        <v>17</v>
      </c>
      <c r="B15" s="26">
        <v>95400</v>
      </c>
      <c r="C15" s="26">
        <v>41970000</v>
      </c>
      <c r="D15" s="27">
        <v>439.93710691823901</v>
      </c>
    </row>
    <row r="16" spans="1:4">
      <c r="A16" s="23" t="s">
        <v>11</v>
      </c>
      <c r="B16" s="26">
        <v>96000</v>
      </c>
      <c r="C16" s="26">
        <v>28700000</v>
      </c>
      <c r="D16" s="27">
        <v>298.95833333333331</v>
      </c>
    </row>
    <row r="17" spans="1:4">
      <c r="A17" s="23" t="s">
        <v>7</v>
      </c>
      <c r="B17" s="26">
        <v>54600</v>
      </c>
      <c r="C17" s="26">
        <v>92245000</v>
      </c>
      <c r="D17" s="27">
        <v>1689.4688644688645</v>
      </c>
    </row>
    <row r="18" spans="1:4">
      <c r="A18" s="22" t="s">
        <v>59</v>
      </c>
      <c r="B18" s="26">
        <v>1036600</v>
      </c>
      <c r="C18" s="26">
        <v>665483000</v>
      </c>
      <c r="D18" s="27">
        <v>641.98630136986299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/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55</v>
      </c>
      <c r="B1" s="2" t="s">
        <v>0</v>
      </c>
      <c r="C1" s="17" t="s">
        <v>1</v>
      </c>
      <c r="D1" s="2" t="s">
        <v>66</v>
      </c>
      <c r="E1" s="2" t="s">
        <v>65</v>
      </c>
      <c r="F1" s="2" t="s">
        <v>2</v>
      </c>
      <c r="G1" s="2" t="s">
        <v>64</v>
      </c>
      <c r="H1" s="2" t="s">
        <v>63</v>
      </c>
      <c r="I1" s="2" t="s">
        <v>4</v>
      </c>
      <c r="J1" s="3" t="s">
        <v>5</v>
      </c>
      <c r="K1" s="4" t="s">
        <v>62</v>
      </c>
    </row>
    <row r="2" spans="1:11">
      <c r="A2" s="6">
        <v>1</v>
      </c>
      <c r="B2" s="21" t="s">
        <v>39</v>
      </c>
      <c r="C2" s="18">
        <v>44077</v>
      </c>
      <c r="D2" s="7">
        <v>21</v>
      </c>
      <c r="E2" s="7" t="s">
        <v>6</v>
      </c>
      <c r="F2" s="7" t="s">
        <v>11</v>
      </c>
      <c r="G2" s="7" t="s">
        <v>25</v>
      </c>
      <c r="H2" s="7" t="s">
        <v>56</v>
      </c>
      <c r="I2" s="7" t="s">
        <v>12</v>
      </c>
      <c r="J2" s="8">
        <v>40000</v>
      </c>
      <c r="K2" s="9">
        <v>23000000</v>
      </c>
    </row>
    <row r="3" spans="1:11">
      <c r="A3" s="6">
        <v>2</v>
      </c>
      <c r="B3" s="21" t="s">
        <v>16</v>
      </c>
      <c r="C3" s="18">
        <v>43748</v>
      </c>
      <c r="D3" s="7">
        <v>23</v>
      </c>
      <c r="E3" s="7" t="s">
        <v>6</v>
      </c>
      <c r="F3" s="7" t="s">
        <v>7</v>
      </c>
      <c r="G3" s="7" t="s">
        <v>25</v>
      </c>
      <c r="H3" s="7" t="s">
        <v>18</v>
      </c>
      <c r="I3" s="7" t="s">
        <v>36</v>
      </c>
      <c r="J3" s="8">
        <v>20000</v>
      </c>
      <c r="K3" s="9">
        <v>3400000</v>
      </c>
    </row>
    <row r="4" spans="1:11">
      <c r="A4" s="6">
        <v>3</v>
      </c>
      <c r="B4" s="21" t="s">
        <v>40</v>
      </c>
      <c r="C4" s="18">
        <v>44844</v>
      </c>
      <c r="D4" s="7">
        <v>23</v>
      </c>
      <c r="E4" s="7" t="s">
        <v>10</v>
      </c>
      <c r="F4" s="7" t="s">
        <v>7</v>
      </c>
      <c r="G4" s="7" t="s">
        <v>25</v>
      </c>
      <c r="H4" s="7" t="s">
        <v>18</v>
      </c>
      <c r="I4" s="7" t="s">
        <v>32</v>
      </c>
      <c r="J4" s="8">
        <v>12000</v>
      </c>
      <c r="K4" s="9">
        <v>34000000</v>
      </c>
    </row>
    <row r="5" spans="1:11">
      <c r="A5" s="6">
        <v>4</v>
      </c>
      <c r="B5" s="21" t="s">
        <v>41</v>
      </c>
      <c r="C5" s="18">
        <v>44529</v>
      </c>
      <c r="D5" s="7">
        <v>25</v>
      </c>
      <c r="E5" s="7" t="s">
        <v>10</v>
      </c>
      <c r="F5" s="7" t="s">
        <v>7</v>
      </c>
      <c r="G5" s="7" t="s">
        <v>25</v>
      </c>
      <c r="H5" s="7" t="s">
        <v>57</v>
      </c>
      <c r="I5" s="7" t="s">
        <v>8</v>
      </c>
      <c r="J5" s="8">
        <v>77000</v>
      </c>
      <c r="K5" s="9">
        <v>53000000</v>
      </c>
    </row>
    <row r="6" spans="1:11">
      <c r="A6" s="6">
        <v>5</v>
      </c>
      <c r="B6" s="21" t="s">
        <v>42</v>
      </c>
      <c r="C6" s="18">
        <v>44075</v>
      </c>
      <c r="D6" s="7">
        <v>26</v>
      </c>
      <c r="E6" s="7" t="s">
        <v>6</v>
      </c>
      <c r="F6" s="7" t="s">
        <v>11</v>
      </c>
      <c r="G6" s="7" t="s">
        <v>19</v>
      </c>
      <c r="H6" s="7" t="s">
        <v>57</v>
      </c>
      <c r="I6" s="7" t="s">
        <v>32</v>
      </c>
      <c r="J6" s="8">
        <v>76000</v>
      </c>
      <c r="K6" s="9">
        <v>5300000</v>
      </c>
    </row>
    <row r="7" spans="1:11">
      <c r="A7" s="6">
        <v>6</v>
      </c>
      <c r="B7" s="21" t="s">
        <v>20</v>
      </c>
      <c r="C7" s="18">
        <v>43711</v>
      </c>
      <c r="D7" s="7">
        <v>27</v>
      </c>
      <c r="E7" s="7" t="s">
        <v>6</v>
      </c>
      <c r="F7" s="7" t="s">
        <v>7</v>
      </c>
      <c r="G7" s="7" t="s">
        <v>19</v>
      </c>
      <c r="H7" s="7" t="s">
        <v>57</v>
      </c>
      <c r="I7" s="7" t="s">
        <v>8</v>
      </c>
      <c r="J7" s="8">
        <v>33000</v>
      </c>
      <c r="K7" s="9">
        <v>3245000</v>
      </c>
    </row>
    <row r="8" spans="1:11">
      <c r="A8" s="6">
        <v>7</v>
      </c>
      <c r="B8" s="21" t="s">
        <v>13</v>
      </c>
      <c r="C8" s="18">
        <v>43436</v>
      </c>
      <c r="D8" s="7">
        <v>29</v>
      </c>
      <c r="E8" s="7" t="s">
        <v>10</v>
      </c>
      <c r="F8" s="7" t="s">
        <v>7</v>
      </c>
      <c r="G8" s="7" t="s">
        <v>19</v>
      </c>
      <c r="H8" s="7" t="s">
        <v>18</v>
      </c>
      <c r="I8" s="7" t="s">
        <v>23</v>
      </c>
      <c r="J8" s="8">
        <v>8000</v>
      </c>
      <c r="K8" s="9">
        <v>36000000</v>
      </c>
    </row>
    <row r="9" spans="1:11">
      <c r="A9" s="6">
        <v>8</v>
      </c>
      <c r="B9" s="21" t="s">
        <v>24</v>
      </c>
      <c r="C9" s="18">
        <v>43375</v>
      </c>
      <c r="D9" s="7">
        <v>34</v>
      </c>
      <c r="E9" s="7" t="s">
        <v>10</v>
      </c>
      <c r="F9" s="7" t="s">
        <v>11</v>
      </c>
      <c r="G9" s="7" t="s">
        <v>25</v>
      </c>
      <c r="H9" s="7" t="s">
        <v>15</v>
      </c>
      <c r="I9" s="7" t="s">
        <v>23</v>
      </c>
      <c r="J9" s="8">
        <v>45000</v>
      </c>
      <c r="K9" s="9">
        <v>13000000</v>
      </c>
    </row>
    <row r="10" spans="1:11">
      <c r="A10" s="6">
        <v>9</v>
      </c>
      <c r="B10" s="21" t="s">
        <v>43</v>
      </c>
      <c r="C10" s="18">
        <v>43749</v>
      </c>
      <c r="D10" s="7">
        <v>34</v>
      </c>
      <c r="E10" s="7" t="s">
        <v>6</v>
      </c>
      <c r="F10" s="7" t="s">
        <v>7</v>
      </c>
      <c r="G10" s="7" t="s">
        <v>19</v>
      </c>
      <c r="H10" s="7" t="s">
        <v>56</v>
      </c>
      <c r="I10" s="7" t="s">
        <v>8</v>
      </c>
      <c r="J10" s="8">
        <v>13600</v>
      </c>
      <c r="K10" s="9">
        <v>53000000</v>
      </c>
    </row>
    <row r="11" spans="1:11">
      <c r="A11" s="6">
        <v>10</v>
      </c>
      <c r="B11" s="21" t="s">
        <v>44</v>
      </c>
      <c r="C11" s="18">
        <v>45090</v>
      </c>
      <c r="D11" s="7">
        <v>35</v>
      </c>
      <c r="E11" s="7" t="s">
        <v>6</v>
      </c>
      <c r="F11" s="7" t="s">
        <v>11</v>
      </c>
      <c r="G11" s="7" t="s">
        <v>19</v>
      </c>
      <c r="H11" s="7" t="s">
        <v>15</v>
      </c>
      <c r="I11" s="7" t="s">
        <v>8</v>
      </c>
      <c r="J11" s="8">
        <v>20000</v>
      </c>
      <c r="K11" s="9">
        <v>23400000</v>
      </c>
    </row>
    <row r="12" spans="1:11">
      <c r="A12" s="6">
        <v>11</v>
      </c>
      <c r="B12" s="21" t="s">
        <v>45</v>
      </c>
      <c r="C12" s="18">
        <v>43711</v>
      </c>
      <c r="D12" s="7">
        <v>35</v>
      </c>
      <c r="E12" s="7" t="s">
        <v>6</v>
      </c>
      <c r="F12" s="7" t="s">
        <v>7</v>
      </c>
      <c r="G12" s="7" t="s">
        <v>25</v>
      </c>
      <c r="H12" s="7" t="s">
        <v>15</v>
      </c>
      <c r="I12" s="7" t="s">
        <v>23</v>
      </c>
      <c r="J12" s="8">
        <v>40000</v>
      </c>
      <c r="K12" s="9">
        <v>34000000</v>
      </c>
    </row>
    <row r="13" spans="1:11">
      <c r="A13" s="6">
        <v>12</v>
      </c>
      <c r="B13" s="21" t="s">
        <v>46</v>
      </c>
      <c r="C13" s="18">
        <v>44081</v>
      </c>
      <c r="D13" s="7">
        <v>36</v>
      </c>
      <c r="E13" s="7" t="s">
        <v>6</v>
      </c>
      <c r="F13" s="7" t="s">
        <v>11</v>
      </c>
      <c r="G13" s="7" t="s">
        <v>14</v>
      </c>
      <c r="H13" s="7" t="s">
        <v>56</v>
      </c>
      <c r="I13" s="7" t="s">
        <v>32</v>
      </c>
      <c r="J13" s="8">
        <v>23000</v>
      </c>
      <c r="K13" s="9">
        <v>34000000</v>
      </c>
    </row>
    <row r="14" spans="1:11">
      <c r="A14" s="6">
        <v>13</v>
      </c>
      <c r="B14" s="21" t="s">
        <v>47</v>
      </c>
      <c r="C14" s="18">
        <v>44529</v>
      </c>
      <c r="D14" s="7">
        <v>37</v>
      </c>
      <c r="E14" s="7" t="s">
        <v>6</v>
      </c>
      <c r="F14" s="7" t="s">
        <v>11</v>
      </c>
      <c r="G14" s="7" t="s">
        <v>14</v>
      </c>
      <c r="H14" s="7" t="s">
        <v>15</v>
      </c>
      <c r="I14" s="7" t="s">
        <v>12</v>
      </c>
      <c r="J14" s="8">
        <v>50000</v>
      </c>
      <c r="K14" s="9">
        <v>45000000</v>
      </c>
    </row>
    <row r="15" spans="1:11">
      <c r="A15" s="6">
        <v>14</v>
      </c>
      <c r="B15" s="21" t="s">
        <v>48</v>
      </c>
      <c r="C15" s="18">
        <v>43798</v>
      </c>
      <c r="D15" s="7">
        <v>37</v>
      </c>
      <c r="E15" s="7" t="s">
        <v>10</v>
      </c>
      <c r="F15" s="7" t="s">
        <v>11</v>
      </c>
      <c r="G15" s="7" t="s">
        <v>14</v>
      </c>
      <c r="H15" s="7" t="s">
        <v>15</v>
      </c>
      <c r="I15" s="7" t="s">
        <v>8</v>
      </c>
      <c r="J15" s="8">
        <v>11200</v>
      </c>
      <c r="K15" s="9">
        <v>33500000</v>
      </c>
    </row>
    <row r="16" spans="1:11">
      <c r="A16" s="6">
        <v>15</v>
      </c>
      <c r="B16" s="21" t="s">
        <v>9</v>
      </c>
      <c r="C16" s="18">
        <v>44910</v>
      </c>
      <c r="D16" s="7">
        <v>38</v>
      </c>
      <c r="E16" s="7" t="s">
        <v>10</v>
      </c>
      <c r="F16" s="7" t="s">
        <v>7</v>
      </c>
      <c r="G16" s="7" t="s">
        <v>14</v>
      </c>
      <c r="H16" s="7" t="s">
        <v>56</v>
      </c>
      <c r="I16" s="7" t="s">
        <v>8</v>
      </c>
      <c r="J16" s="8">
        <v>4000</v>
      </c>
      <c r="K16" s="9">
        <v>3400000</v>
      </c>
    </row>
    <row r="17" spans="1:11">
      <c r="A17" s="6">
        <v>16</v>
      </c>
      <c r="B17" s="21" t="s">
        <v>49</v>
      </c>
      <c r="C17" s="18">
        <v>44050</v>
      </c>
      <c r="D17" s="7">
        <v>39</v>
      </c>
      <c r="E17" s="7" t="s">
        <v>6</v>
      </c>
      <c r="F17" s="7" t="s">
        <v>17</v>
      </c>
      <c r="G17" s="7" t="s">
        <v>14</v>
      </c>
      <c r="H17" s="7" t="s">
        <v>18</v>
      </c>
      <c r="I17" s="7" t="s">
        <v>8</v>
      </c>
      <c r="J17" s="8">
        <v>41200</v>
      </c>
      <c r="K17" s="9">
        <v>26200000</v>
      </c>
    </row>
    <row r="18" spans="1:11">
      <c r="A18" s="6">
        <v>17</v>
      </c>
      <c r="B18" s="21" t="s">
        <v>50</v>
      </c>
      <c r="C18" s="18">
        <v>44415</v>
      </c>
      <c r="D18" s="7">
        <v>39</v>
      </c>
      <c r="E18" s="7" t="s">
        <v>10</v>
      </c>
      <c r="F18" s="7" t="s">
        <v>17</v>
      </c>
      <c r="G18" s="7" t="s">
        <v>14</v>
      </c>
      <c r="H18" s="7" t="s">
        <v>18</v>
      </c>
      <c r="I18" s="7" t="s">
        <v>8</v>
      </c>
      <c r="J18" s="8">
        <v>80000</v>
      </c>
      <c r="K18" s="9">
        <v>5250000</v>
      </c>
    </row>
    <row r="19" spans="1:11">
      <c r="A19" s="6">
        <v>18</v>
      </c>
      <c r="B19" s="21" t="s">
        <v>51</v>
      </c>
      <c r="C19" s="18">
        <v>44926</v>
      </c>
      <c r="D19" s="7">
        <v>41</v>
      </c>
      <c r="E19" s="7" t="s">
        <v>6</v>
      </c>
      <c r="F19" s="7" t="s">
        <v>17</v>
      </c>
      <c r="G19" s="7" t="s">
        <v>19</v>
      </c>
      <c r="H19" s="7" t="s">
        <v>18</v>
      </c>
      <c r="I19" s="7" t="s">
        <v>12</v>
      </c>
      <c r="J19" s="8">
        <v>10000</v>
      </c>
      <c r="K19" s="9">
        <v>2400000</v>
      </c>
    </row>
    <row r="20" spans="1:11">
      <c r="A20" s="6">
        <v>19</v>
      </c>
      <c r="B20" s="7" t="s">
        <v>52</v>
      </c>
      <c r="C20" s="18">
        <v>44196</v>
      </c>
      <c r="D20" s="7">
        <v>45</v>
      </c>
      <c r="E20" s="7" t="s">
        <v>10</v>
      </c>
      <c r="F20" s="7" t="s">
        <v>17</v>
      </c>
      <c r="G20" s="7" t="s">
        <v>19</v>
      </c>
      <c r="H20" s="7" t="s">
        <v>18</v>
      </c>
      <c r="I20" s="7" t="s">
        <v>29</v>
      </c>
      <c r="J20" s="8">
        <v>4000</v>
      </c>
      <c r="K20" s="9">
        <v>1230000</v>
      </c>
    </row>
    <row r="21" spans="1:11">
      <c r="A21" s="6">
        <v>20</v>
      </c>
      <c r="B21" s="7" t="s">
        <v>35</v>
      </c>
      <c r="C21" s="18">
        <v>43340</v>
      </c>
      <c r="D21" s="7">
        <v>43</v>
      </c>
      <c r="E21" s="7" t="s">
        <v>6</v>
      </c>
      <c r="F21" s="7" t="s">
        <v>11</v>
      </c>
      <c r="G21" s="7" t="s">
        <v>14</v>
      </c>
      <c r="H21" s="7" t="s">
        <v>58</v>
      </c>
      <c r="I21" s="7" t="s">
        <v>32</v>
      </c>
      <c r="J21" s="8">
        <v>24000</v>
      </c>
      <c r="K21" s="9">
        <v>23400000</v>
      </c>
    </row>
    <row r="22" spans="1:11">
      <c r="A22" s="6">
        <v>21</v>
      </c>
      <c r="B22" s="7" t="s">
        <v>33</v>
      </c>
      <c r="C22" s="18">
        <v>43595</v>
      </c>
      <c r="D22" s="7">
        <v>46</v>
      </c>
      <c r="E22" s="7" t="s">
        <v>10</v>
      </c>
      <c r="F22" s="7" t="s">
        <v>17</v>
      </c>
      <c r="G22" s="7" t="s">
        <v>19</v>
      </c>
      <c r="H22" s="7" t="s">
        <v>56</v>
      </c>
      <c r="I22" s="7" t="s">
        <v>32</v>
      </c>
      <c r="J22" s="8">
        <v>26400</v>
      </c>
      <c r="K22" s="9">
        <v>2340000</v>
      </c>
    </row>
    <row r="23" spans="1:11">
      <c r="A23" s="6">
        <v>22</v>
      </c>
      <c r="B23" s="7" t="s">
        <v>34</v>
      </c>
      <c r="C23" s="18">
        <v>43744</v>
      </c>
      <c r="D23" s="7">
        <v>47</v>
      </c>
      <c r="E23" s="7" t="s">
        <v>10</v>
      </c>
      <c r="F23" s="7" t="s">
        <v>17</v>
      </c>
      <c r="G23" s="7" t="s">
        <v>19</v>
      </c>
      <c r="H23" s="7" t="s">
        <v>57</v>
      </c>
      <c r="I23" s="7" t="s">
        <v>32</v>
      </c>
      <c r="J23" s="8">
        <v>55000</v>
      </c>
      <c r="K23" s="9">
        <v>36000000</v>
      </c>
    </row>
    <row r="24" spans="1:11">
      <c r="A24" s="6">
        <v>23</v>
      </c>
      <c r="B24" s="7" t="s">
        <v>26</v>
      </c>
      <c r="C24" s="18">
        <v>43591</v>
      </c>
      <c r="D24" s="7">
        <v>50</v>
      </c>
      <c r="E24" s="7" t="s">
        <v>10</v>
      </c>
      <c r="F24" s="7" t="s">
        <v>27</v>
      </c>
      <c r="G24" s="7" t="s">
        <v>25</v>
      </c>
      <c r="H24" s="7" t="s">
        <v>58</v>
      </c>
      <c r="I24" s="7" t="s">
        <v>8</v>
      </c>
      <c r="J24" s="8">
        <v>4000</v>
      </c>
      <c r="K24" s="9">
        <v>24500000</v>
      </c>
    </row>
    <row r="25" spans="1:11">
      <c r="A25" s="6">
        <v>24</v>
      </c>
      <c r="B25" s="7" t="s">
        <v>38</v>
      </c>
      <c r="C25" s="18">
        <v>43957</v>
      </c>
      <c r="D25" s="7">
        <v>50</v>
      </c>
      <c r="E25" s="7" t="s">
        <v>6</v>
      </c>
      <c r="F25" s="7" t="s">
        <v>27</v>
      </c>
      <c r="G25" s="7" t="s">
        <v>25</v>
      </c>
      <c r="H25" s="7" t="s">
        <v>58</v>
      </c>
      <c r="I25" s="7" t="s">
        <v>32</v>
      </c>
      <c r="J25" s="8">
        <v>25000</v>
      </c>
      <c r="K25" s="9">
        <v>2450000</v>
      </c>
    </row>
    <row r="26" spans="1:11">
      <c r="A26" s="6">
        <v>25</v>
      </c>
      <c r="B26" s="7" t="s">
        <v>53</v>
      </c>
      <c r="C26" s="18">
        <v>43441</v>
      </c>
      <c r="D26" s="7">
        <v>59</v>
      </c>
      <c r="E26" s="7" t="s">
        <v>6</v>
      </c>
      <c r="F26" s="7" t="s">
        <v>31</v>
      </c>
      <c r="G26" s="7" t="s">
        <v>14</v>
      </c>
      <c r="H26" s="7" t="s">
        <v>58</v>
      </c>
      <c r="I26" s="7" t="s">
        <v>8</v>
      </c>
      <c r="J26" s="8">
        <v>36000</v>
      </c>
      <c r="K26" s="9">
        <v>12000000</v>
      </c>
    </row>
    <row r="27" spans="1:11">
      <c r="A27" s="6">
        <v>26</v>
      </c>
      <c r="B27" s="7" t="s">
        <v>54</v>
      </c>
      <c r="C27" s="18">
        <v>44126</v>
      </c>
      <c r="D27" s="7">
        <v>55</v>
      </c>
      <c r="E27" s="7" t="s">
        <v>10</v>
      </c>
      <c r="F27" s="7" t="s">
        <v>27</v>
      </c>
      <c r="G27" s="7" t="s">
        <v>14</v>
      </c>
      <c r="H27" s="7" t="s">
        <v>57</v>
      </c>
      <c r="I27" s="7" t="s">
        <v>8</v>
      </c>
      <c r="J27" s="8">
        <v>93000</v>
      </c>
      <c r="K27" s="9">
        <v>6234000</v>
      </c>
    </row>
    <row r="28" spans="1:11">
      <c r="A28" s="6">
        <v>27</v>
      </c>
      <c r="B28" s="7" t="s">
        <v>30</v>
      </c>
      <c r="C28" s="18">
        <v>44856</v>
      </c>
      <c r="D28" s="7">
        <v>52</v>
      </c>
      <c r="E28" s="7" t="s">
        <v>6</v>
      </c>
      <c r="F28" s="7" t="s">
        <v>27</v>
      </c>
      <c r="G28" s="7" t="s">
        <v>14</v>
      </c>
      <c r="H28" s="7" t="s">
        <v>57</v>
      </c>
      <c r="I28" s="7" t="s">
        <v>8</v>
      </c>
      <c r="J28" s="8">
        <v>20000</v>
      </c>
      <c r="K28" s="9">
        <v>5234000</v>
      </c>
    </row>
    <row r="29" spans="1:11">
      <c r="A29" s="6">
        <v>28</v>
      </c>
      <c r="B29" s="7" t="s">
        <v>28</v>
      </c>
      <c r="C29" s="18">
        <v>44050</v>
      </c>
      <c r="D29" s="7">
        <v>58</v>
      </c>
      <c r="E29" s="7" t="s">
        <v>6</v>
      </c>
      <c r="F29" s="7" t="s">
        <v>17</v>
      </c>
      <c r="G29" s="7" t="s">
        <v>14</v>
      </c>
      <c r="H29" s="7" t="s">
        <v>18</v>
      </c>
      <c r="I29" s="7" t="s">
        <v>8</v>
      </c>
      <c r="J29" s="8">
        <v>59200</v>
      </c>
      <c r="K29" s="9">
        <v>53000000</v>
      </c>
    </row>
    <row r="30" spans="1:11">
      <c r="A30" s="6">
        <v>29</v>
      </c>
      <c r="B30" s="7" t="s">
        <v>37</v>
      </c>
      <c r="C30" s="18">
        <v>43503</v>
      </c>
      <c r="D30" s="7">
        <v>46</v>
      </c>
      <c r="E30" s="7" t="s">
        <v>10</v>
      </c>
      <c r="F30" s="7" t="s">
        <v>27</v>
      </c>
      <c r="G30" s="7" t="s">
        <v>25</v>
      </c>
      <c r="H30" s="7" t="s">
        <v>18</v>
      </c>
      <c r="I30" s="7" t="s">
        <v>8</v>
      </c>
      <c r="J30" s="8">
        <v>82000</v>
      </c>
      <c r="K30" s="9">
        <v>23000000</v>
      </c>
    </row>
    <row r="31" spans="1:11">
      <c r="A31" s="6">
        <v>30</v>
      </c>
      <c r="B31" s="11" t="s">
        <v>21</v>
      </c>
      <c r="C31" s="19">
        <v>44164</v>
      </c>
      <c r="D31" s="11">
        <v>48</v>
      </c>
      <c r="E31" s="11" t="s">
        <v>10</v>
      </c>
      <c r="F31" s="11" t="s">
        <v>22</v>
      </c>
      <c r="G31" s="7" t="s">
        <v>14</v>
      </c>
      <c r="H31" s="11" t="s">
        <v>15</v>
      </c>
      <c r="I31" s="11" t="s">
        <v>23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2025-08-08T13:36:19Z</dcterms:modified>
</cp:coreProperties>
</file>
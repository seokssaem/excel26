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9C741032-617B-4CAD-BD10-28E905717D3F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4" r:id="rId1"/>
    <sheet name="매출정보" sheetId="1" r:id="rId2"/>
  </sheets>
  <definedNames>
    <definedName name="_xlnm._FilterDatabase" localSheetId="1" hidden="1">매출정보!$A$1:$J$29</definedName>
    <definedName name="전체">OFFSET(매출정보!$A$1,0,0,COUNTA(매출정보!$A:$A),COUNTA(매출정보!$1:$1))</definedName>
  </definedNames>
  <calcPr calcId="191029"/>
  <pivotCaches>
    <pivotCache cacheId="2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<sst xmlns="http://schemas.openxmlformats.org/spreadsheetml/2006/main" count="205" uniqueCount="68">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</sst>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6363657406" createdVersion="8" refreshedVersion="8" minRefreshableVersion="3" recordCount="30" xr:uid="{ECB01821-864B-495E-BD90-BD7E69284F3B}">
  <cacheSource type="worksheet">
    <worksheetSource ref="A1:J31" sheet="매출정보"/>
  </cacheSource>
  <cacheFields count="10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부장"/>
        <s v="차장"/>
        <s v="과장"/>
      </sharedItems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 count="6">
        <s v="SEV"/>
        <s v="SVI"/>
        <s v="SEZ"/>
        <s v="TSO"/>
        <s v="SVT"/>
        <s v="TST"/>
      </sharedItems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5-29T00:00:00"/>
        <d v="2025-05-21T00:00:00"/>
        <d v="2025-02-25T00:00:00"/>
        <d v="2025-02-28T00:00:00"/>
        <d v="2025-02-11T00:00:00"/>
        <d v="2025-02-19T00:00:00"/>
        <d v="2025-05-27T00:00:00"/>
        <d v="2025-04-09T00:00:00"/>
        <d v="2025-04-15T00:00:00"/>
        <d v="2025-04-07T00:00:00"/>
        <d v="2025-04-19T00:00:00"/>
        <d v="2025-07-13T00:00:00"/>
        <d v="2025-06-30T00:00:00"/>
        <d v="2025-06-10T00:00:00"/>
        <d v="2025-06-08T00:00:00"/>
        <d v="2025-04-01T00:00:00"/>
      </sharedItems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x v="0"/>
    <x v="0"/>
    <s v="영업관리"/>
    <x v="0"/>
    <x v="0"/>
    <x v="0"/>
    <n v="40000"/>
    <n v="23000000"/>
  </r>
  <r>
    <n v="2"/>
    <s v="정수란"/>
    <x v="0"/>
    <x v="1"/>
    <s v="영업관리"/>
    <x v="1"/>
    <x v="1"/>
    <x v="1"/>
    <n v="20000"/>
    <n v="3400000"/>
  </r>
  <r>
    <n v="3"/>
    <s v="이시안"/>
    <x v="0"/>
    <x v="1"/>
    <s v="컨설턴트"/>
    <x v="0"/>
    <x v="2"/>
    <x v="2"/>
    <n v="13600"/>
    <n v="53000000"/>
  </r>
  <r>
    <n v="4"/>
    <s v="최지영"/>
    <x v="0"/>
    <x v="0"/>
    <s v="컨설턴트"/>
    <x v="2"/>
    <x v="2"/>
    <x v="3"/>
    <n v="20000"/>
    <n v="23400000"/>
  </r>
  <r>
    <n v="5"/>
    <s v="이성경"/>
    <x v="0"/>
    <x v="1"/>
    <s v="영업관리"/>
    <x v="2"/>
    <x v="3"/>
    <x v="2"/>
    <n v="40000"/>
    <n v="34000000"/>
  </r>
  <r>
    <n v="6"/>
    <s v="이경미"/>
    <x v="0"/>
    <x v="0"/>
    <s v="국내영업"/>
    <x v="0"/>
    <x v="4"/>
    <x v="2"/>
    <n v="23000"/>
    <n v="34000000"/>
  </r>
  <r>
    <n v="7"/>
    <s v="최소라"/>
    <x v="0"/>
    <x v="2"/>
    <s v="영업관리"/>
    <x v="3"/>
    <x v="4"/>
    <x v="4"/>
    <n v="25000"/>
    <n v="2450000"/>
  </r>
  <r>
    <n v="8"/>
    <s v="김은정"/>
    <x v="0"/>
    <x v="3"/>
    <s v="국내영업"/>
    <x v="3"/>
    <x v="2"/>
    <x v="5"/>
    <n v="36000"/>
    <n v="12000000"/>
  </r>
  <r>
    <n v="9"/>
    <s v="원서준"/>
    <x v="1"/>
    <x v="2"/>
    <s v="국내영업"/>
    <x v="4"/>
    <x v="2"/>
    <x v="6"/>
    <n v="93000"/>
    <n v="6234000"/>
  </r>
  <r>
    <n v="10"/>
    <s v="채소연"/>
    <x v="0"/>
    <x v="2"/>
    <s v="국내영업"/>
    <x v="4"/>
    <x v="2"/>
    <x v="7"/>
    <n v="20000"/>
    <n v="5234000"/>
  </r>
  <r>
    <n v="11"/>
    <s v="정유진"/>
    <x v="0"/>
    <x v="4"/>
    <s v="국내영업"/>
    <x v="1"/>
    <x v="2"/>
    <x v="7"/>
    <n v="59200"/>
    <n v="53000000"/>
  </r>
  <r>
    <n v="12"/>
    <s v="홍길동"/>
    <x v="1"/>
    <x v="2"/>
    <s v="영업관리"/>
    <x v="1"/>
    <x v="2"/>
    <x v="7"/>
    <n v="82000"/>
    <n v="23000000"/>
  </r>
  <r>
    <n v="13"/>
    <s v="김기연"/>
    <x v="1"/>
    <x v="3"/>
    <s v="국내영업"/>
    <x v="2"/>
    <x v="3"/>
    <x v="4"/>
    <n v="4000"/>
    <n v="45000000"/>
  </r>
  <r>
    <n v="14"/>
    <s v="김현정"/>
    <x v="0"/>
    <x v="0"/>
    <s v="국내영업"/>
    <x v="2"/>
    <x v="0"/>
    <x v="8"/>
    <n v="50000"/>
    <n v="45000000"/>
  </r>
  <r>
    <n v="15"/>
    <s v="고숭녕"/>
    <x v="1"/>
    <x v="0"/>
    <s v="국내영업"/>
    <x v="2"/>
    <x v="2"/>
    <x v="2"/>
    <n v="11200"/>
    <n v="33500000"/>
  </r>
  <r>
    <n v="16"/>
    <s v="조홍제"/>
    <x v="1"/>
    <x v="1"/>
    <s v="국내영업"/>
    <x v="0"/>
    <x v="2"/>
    <x v="2"/>
    <n v="4000"/>
    <n v="3400000"/>
  </r>
  <r>
    <n v="17"/>
    <s v="박국희"/>
    <x v="0"/>
    <x v="4"/>
    <s v="국내영업"/>
    <x v="1"/>
    <x v="2"/>
    <x v="9"/>
    <n v="41200"/>
    <n v="26200000"/>
  </r>
  <r>
    <n v="18"/>
    <s v="한우석"/>
    <x v="1"/>
    <x v="4"/>
    <s v="국내영업"/>
    <x v="1"/>
    <x v="2"/>
    <x v="10"/>
    <n v="80000"/>
    <n v="5250000"/>
  </r>
  <r>
    <n v="19"/>
    <s v="박슬기"/>
    <x v="0"/>
    <x v="0"/>
    <s v="국내영업"/>
    <x v="3"/>
    <x v="4"/>
    <x v="11"/>
    <n v="24000"/>
    <n v="23400000"/>
  </r>
  <r>
    <n v="20"/>
    <s v="안정훈"/>
    <x v="1"/>
    <x v="4"/>
    <s v="컨설턴트"/>
    <x v="0"/>
    <x v="4"/>
    <x v="10"/>
    <n v="26400"/>
    <n v="2340000"/>
  </r>
  <r>
    <n v="21"/>
    <s v="최준기"/>
    <x v="1"/>
    <x v="4"/>
    <s v="컨설턴트"/>
    <x v="4"/>
    <x v="4"/>
    <x v="12"/>
    <n v="55000"/>
    <n v="36000000"/>
  </r>
  <r>
    <n v="22"/>
    <s v="이한구"/>
    <x v="1"/>
    <x v="2"/>
    <s v="영업관리"/>
    <x v="3"/>
    <x v="2"/>
    <x v="9"/>
    <n v="4000"/>
    <n v="24500000"/>
  </r>
  <r>
    <n v="23"/>
    <s v="오명근"/>
    <x v="1"/>
    <x v="1"/>
    <s v="영업관리"/>
    <x v="1"/>
    <x v="4"/>
    <x v="13"/>
    <n v="12000"/>
    <n v="34000000"/>
  </r>
  <r>
    <n v="24"/>
    <s v="김형호"/>
    <x v="1"/>
    <x v="1"/>
    <s v="영업관리"/>
    <x v="4"/>
    <x v="2"/>
    <x v="14"/>
    <n v="77000"/>
    <n v="53000000"/>
  </r>
  <r>
    <n v="25"/>
    <s v="이희훈"/>
    <x v="0"/>
    <x v="0"/>
    <s v="컨설턴트"/>
    <x v="4"/>
    <x v="4"/>
    <x v="0"/>
    <n v="76000"/>
    <n v="5300000"/>
  </r>
  <r>
    <n v="26"/>
    <s v="고원지"/>
    <x v="0"/>
    <x v="1"/>
    <s v="컨설턴트"/>
    <x v="4"/>
    <x v="2"/>
    <x v="15"/>
    <n v="33000"/>
    <n v="3245000"/>
  </r>
  <r>
    <n v="27"/>
    <s v="한재호"/>
    <x v="1"/>
    <x v="1"/>
    <s v="컨설턴트"/>
    <x v="1"/>
    <x v="3"/>
    <x v="16"/>
    <n v="8000"/>
    <n v="36000000"/>
  </r>
  <r>
    <n v="28"/>
    <s v="조예준"/>
    <x v="1"/>
    <x v="0"/>
    <s v="영업관리"/>
    <x v="2"/>
    <x v="3"/>
    <x v="2"/>
    <n v="45000"/>
    <n v="13000000"/>
  </r>
  <r>
    <n v="29"/>
    <s v="김소훈"/>
    <x v="0"/>
    <x v="4"/>
    <s v="컨설턴트"/>
    <x v="0"/>
    <x v="0"/>
    <x v="9"/>
    <n v="10000"/>
    <n v="2400000"/>
  </r>
  <r>
    <n v="30"/>
    <s v="원성현"/>
    <x v="1"/>
    <x v="4"/>
    <s v="컨설턴트"/>
    <x v="0"/>
    <x v="5"/>
    <x v="17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17C4-7FBF-48BF-A5B3-69E5F5783E3E}" name="피벗 테이블8" cacheId="200" applyNumberFormats="0" applyBorderFormats="0" applyFontFormats="0" applyPatternFormats="0" applyAlignmentFormats="0" applyWidthHeightFormats="1" dataCaption="값" updatedVersion="8" minRefreshableVersion="3" itemPrintTitles="1" createdVersion="8" indent="0" outline="1" outlineData="1" multipleFieldFilters="0" chartFormat="9" rowHeaderCaption="지역" colHeaderCaption=" ">
  <location ref="A3:G10" firstHeaderRow="1" firstDataRow="2" firstDataCol="1"/>
  <pivotFields count="10">
    <pivotField subtotalTop="0" showAll="0"/>
    <pivotField dataField="1" subtotalTop="0" showAll="0"/>
    <pivotField subtotalTop="0" showAll="0"/>
    <pivotField axis="axisCol" subtotalTop="0" showAll="0">
      <items count="6">
        <item x="4"/>
        <item x="0"/>
        <item x="2"/>
        <item x="1"/>
        <item x="3"/>
        <item t="default"/>
      </items>
    </pivotField>
    <pivotField subtotalTop="0" showAll="0"/>
    <pivotField axis="axisRow" subtotalTop="0" showAll="0">
      <items count="6">
        <item x="1"/>
        <item x="0"/>
        <item x="2"/>
        <item x="4"/>
        <item x="3"/>
        <item t="default"/>
      </items>
    </pivotField>
    <pivotField subtotalTop="0" showAll="0"/>
    <pivotField subtotalTop="0" showAll="0"/>
    <pivotField subtotalTop="0" showAll="0"/>
    <pivotField subtotalTop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1" subtotal="count" baseField="0" baseItem="0"/>
  </dataFields>
  <chartFormats count="15">
    <chartFormat chart="5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5" format="9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2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3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4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25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26" series="1">
      <pivotArea type="data" outline="0" fieldPosition="0">
        <references count="1">
          <reference field="3" count="1" selected="0">
            <x v="4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C93C-CB5B-418B-820F-F77E6116D03F}">
  <dimension ref="A3:G10"/>
  <sheetViews>
    <sheetView tabSelected="1" workbookViewId="0">
      <selection activeCell="C7" sqref="C7"/>
    </sheetView>
  </sheetViews>
  <sheetFormatPr defaultRowHeight="17"/>
  <cols>
    <col min="1" max="1" width="14.5" bestFit="1" customWidth="1"/>
    <col min="2" max="6" width="7.25" customWidth="1"/>
    <col min="7" max="7" width="6.58203125" bestFit="1" customWidth="1"/>
    <col min="8" max="8" width="7.58203125" bestFit="1" customWidth="1"/>
    <col min="9" max="9" width="6.58203125" bestFit="1" customWidth="1"/>
    <col min="10" max="10" width="5.58203125" bestFit="1" customWidth="1"/>
    <col min="11" max="11" width="7.08203125" bestFit="1" customWidth="1"/>
    <col min="12" max="12" width="6.58203125" bestFit="1" customWidth="1"/>
    <col min="13" max="14" width="7.58203125" bestFit="1" customWidth="1"/>
    <col min="15" max="15" width="7.08203125" bestFit="1" customWidth="1"/>
    <col min="16" max="17" width="6.58203125" bestFit="1" customWidth="1"/>
  </cols>
  <sheetData>
    <row r="3" spans="1:7">
      <c r="A3" s="22" t="s">
        <v>67</v>
      </c>
      <c r="B3" s="22" t="s">
        <v>67</v>
      </c>
    </row>
    <row r="4" spans="1:7">
      <c r="A4" s="22" t="s">
        <v>5</v>
      </c>
      <c r="B4" t="s">
        <v>42</v>
      </c>
      <c r="C4" t="s">
        <v>12</v>
      </c>
      <c r="D4" t="s">
        <v>52</v>
      </c>
      <c r="E4" t="s">
        <v>17</v>
      </c>
      <c r="F4" t="s">
        <v>55</v>
      </c>
      <c r="G4" t="s">
        <v>63</v>
      </c>
    </row>
    <row r="5" spans="1:7">
      <c r="A5" s="23" t="s">
        <v>18</v>
      </c>
      <c r="B5" s="21">
        <v>3</v>
      </c>
      <c r="C5" s="21"/>
      <c r="D5" s="21">
        <v>1</v>
      </c>
      <c r="E5" s="21">
        <v>3</v>
      </c>
      <c r="F5" s="21"/>
      <c r="G5" s="21">
        <v>7</v>
      </c>
    </row>
    <row r="6" spans="1:7">
      <c r="A6" s="23" t="s">
        <v>62</v>
      </c>
      <c r="B6" s="21">
        <v>3</v>
      </c>
      <c r="C6" s="21">
        <v>2</v>
      </c>
      <c r="D6" s="21"/>
      <c r="E6" s="21">
        <v>2</v>
      </c>
      <c r="F6" s="21"/>
      <c r="G6" s="21">
        <v>7</v>
      </c>
    </row>
    <row r="7" spans="1:7">
      <c r="A7" s="23" t="s">
        <v>32</v>
      </c>
      <c r="B7" s="21"/>
      <c r="C7" s="21">
        <v>4</v>
      </c>
      <c r="D7" s="21"/>
      <c r="E7" s="21">
        <v>1</v>
      </c>
      <c r="F7" s="21">
        <v>1</v>
      </c>
      <c r="G7" s="21">
        <v>6</v>
      </c>
    </row>
    <row r="8" spans="1:7">
      <c r="A8" s="23" t="s">
        <v>64</v>
      </c>
      <c r="B8" s="21">
        <v>1</v>
      </c>
      <c r="C8" s="21">
        <v>1</v>
      </c>
      <c r="D8" s="21">
        <v>2</v>
      </c>
      <c r="E8" s="21">
        <v>2</v>
      </c>
      <c r="F8" s="21"/>
      <c r="G8" s="21">
        <v>6</v>
      </c>
    </row>
    <row r="9" spans="1:7">
      <c r="A9" s="23" t="s">
        <v>65</v>
      </c>
      <c r="B9" s="21"/>
      <c r="C9" s="21">
        <v>1</v>
      </c>
      <c r="D9" s="21">
        <v>2</v>
      </c>
      <c r="E9" s="21"/>
      <c r="F9" s="21">
        <v>1</v>
      </c>
      <c r="G9" s="21">
        <v>4</v>
      </c>
    </row>
    <row r="10" spans="1:7">
      <c r="A10" s="23" t="s">
        <v>63</v>
      </c>
      <c r="B10" s="21">
        <v>7</v>
      </c>
      <c r="C10" s="21">
        <v>8</v>
      </c>
      <c r="D10" s="21">
        <v>5</v>
      </c>
      <c r="E10" s="21">
        <v>8</v>
      </c>
      <c r="F10" s="21">
        <v>2</v>
      </c>
      <c r="G10" s="21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E7" sqref="E7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66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2025-08-09T14:24:48Z</dcterms:modified>
</cp:coreProperties>
</file>
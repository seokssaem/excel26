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528030D6-197E-4499-87A8-6FECA563DA6D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2" r:id="rId1"/>
    <sheet name="매출정보" sheetId="1" r:id="rId2"/>
    <sheet name="추가데이터" sheetId="3" r:id="rId3"/>
  </sheets>
  <definedNames>
    <definedName name="_xlnm._FilterDatabase" localSheetId="1" hidden="1">매출정보!$A$1:$J$29</definedName>
  </definedNames>
  <calcPr calcId="191029"/>
  <pivotCaches>
    <pivotCache cacheId="18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<sst xmlns="http://schemas.openxmlformats.org/spreadsheetml/2006/main" count="230" uniqueCount="75">
  <si>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</si>
  <si>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</si>
  <si>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</si>
  <si>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</si>
  <si>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</si>
  <si>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</si>
  <si>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</si>
  <si>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</si>
  <si>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</si>
  <si>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</si>
  <si>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</si>
  <si>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</si>
  <si>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</si>
  <si>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</si>
  <si>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</si>
  <si>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</si>
  <si>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</si>
  <si>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</si>
  <si>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</si>
  <si>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</si>
  <si>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</si>
  <si>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</si>
  <si>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</si>
  <si>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</si>
  <si>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</si>
  <si>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</si>
  <si>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</si>
  <si>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</si>
  <si>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</si>
  <si>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</si>
  <si>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</si>
  <si>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</si>
  <si>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</si>
  <si>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</si>
  <si>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</si>
  <si>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</si>
  <si>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</si>
  <si>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</si>
  <si>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</si>
  <si>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</si>
  <si>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</si>
  <si>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</si>
  <si>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</si>
  <si>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</si>
  <si>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</si>
  <si>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</si>
  <si>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</si>
  <si>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</si>
  <si>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</si>
  <si>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</si>
  <si>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</si>
  <si>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</si>
  <si>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</si>
  <si>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</si>
  <si>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</si>
  <si>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</si>
  <si>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</si>
  <si>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</si>
  <si>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</si>
  <si>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</si>
  <si>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</si>
  <si>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</si>
  <si>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광주</t>
  </si>
  <si>
    <t>총합계</t>
  </si>
  <si>
    <t>목포</t>
  </si>
  <si>
    <t>대전</t>
  </si>
  <si>
    <t>국내영업</t>
    <phoneticPr fontId="3" type="noConversion"/>
  </si>
  <si>
    <t>인원수</t>
  </si>
  <si>
    <t>남</t>
  </si>
  <si>
    <t>여</t>
  </si>
  <si>
    <t>해외영업</t>
  </si>
  <si>
    <t>선양미</t>
    <phoneticPr fontId="3" type="noConversion"/>
  </si>
  <si>
    <t>박병철</t>
    <phoneticPr fontId="3" type="noConversion"/>
  </si>
  <si>
    <t>대구</t>
    <phoneticPr fontId="3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</si>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</sst>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  <fill>
      <patternFill patternType="solid">
        <fgColor theme="8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4" fontId="8" fillId="3" borderId="2" xfId="0" applyNumberFormat="1" applyFont="1" applyFill="1" applyBorder="1" applyAlignment="1">
      <alignment horizontal="center" vertical="center"/>
    </xf>
    <xf numFmtId="41" fontId="8" fillId="3" borderId="2" xfId="1" applyFont="1" applyFill="1" applyBorder="1" applyAlignment="1">
      <alignment horizontal="center" vertical="center"/>
    </xf>
    <xf numFmtId="41" fontId="8" fillId="3" borderId="3" xfId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2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4" fontId="6" fillId="0" borderId="0" xfId="0" applyNumberFormat="1" applyFont="1" applyBorder="1">
      <alignment vertical="center"/>
    </xf>
    <xf numFmtId="41" fontId="7" fillId="0" borderId="0" xfId="2" applyFont="1" applyBorder="1">
      <alignment vertical="center"/>
    </xf>
    <xf numFmtId="41" fontId="6" fillId="0" borderId="0" xfId="2" applyFont="1" applyBorder="1">
      <alignment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1" fontId="0" fillId="0" borderId="0" xfId="1" applyFont="1" applyBorder="1">
      <alignment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899960300929" createdVersion="8" refreshedVersion="8" minRefreshableVersion="3" recordCount="28" xr:uid="{3511F8DA-A0B7-4037-8117-AD0629E09DFF}">
  <cacheSource type="worksheet">
    <worksheetSource ref="A1:J29" sheet="매출정보"/>
  </cacheSource>
  <cacheFields count="10">
    <cacheField name="NO" numFmtId="0">
      <sharedItems containsSemiMixedTypes="0" containsString="0" containsNumber="1" containsInteger="1" minValue="1" maxValue="28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2340000" maxValue="53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1"/>
    <s v="한이경"/>
    <x v="0"/>
    <s v="대리"/>
    <s v="영업관리"/>
    <x v="0"/>
    <s v="SEV"/>
    <d v="2025-07-14T00:00:00"/>
    <n v="40000"/>
    <n v="23000000"/>
  </r>
  <r>
    <n v="2"/>
    <s v="정수란"/>
    <x v="0"/>
    <s v="사원"/>
    <s v="영업관리"/>
    <x v="1"/>
    <s v="SVI"/>
    <d v="2025-07-20T00:00:00"/>
    <n v="20000"/>
    <n v="3400000"/>
  </r>
  <r>
    <n v="3"/>
    <s v="이시안"/>
    <x v="0"/>
    <s v="사원"/>
    <s v="컨설턴트"/>
    <x v="0"/>
    <s v="SEZ"/>
    <d v="2025-05-29T00:00:00"/>
    <n v="13600"/>
    <n v="53000000"/>
  </r>
  <r>
    <n v="4"/>
    <s v="최지영"/>
    <x v="0"/>
    <s v="대리"/>
    <s v="컨설턴트"/>
    <x v="2"/>
    <s v="SEZ"/>
    <d v="2025-05-21T00:00:00"/>
    <n v="20000"/>
    <n v="23400000"/>
  </r>
  <r>
    <n v="5"/>
    <s v="이성경"/>
    <x v="0"/>
    <s v="사원"/>
    <s v="영업관리"/>
    <x v="2"/>
    <s v="TSO"/>
    <d v="2025-05-29T00:00:00"/>
    <n v="40000"/>
    <n v="34000000"/>
  </r>
  <r>
    <n v="6"/>
    <s v="이경미"/>
    <x v="0"/>
    <s v="대리"/>
    <s v="국내영업"/>
    <x v="0"/>
    <s v="SVT"/>
    <d v="2025-05-29T00:00:00"/>
    <n v="23000"/>
    <n v="34000000"/>
  </r>
  <r>
    <n v="7"/>
    <s v="최소라"/>
    <x v="0"/>
    <s v="부장"/>
    <s v="영업관리"/>
    <x v="3"/>
    <s v="SVT"/>
    <d v="2025-02-25T00:00:00"/>
    <n v="25000"/>
    <n v="2450000"/>
  </r>
  <r>
    <n v="8"/>
    <s v="김은정"/>
    <x v="0"/>
    <s v="차장"/>
    <s v="국내영업"/>
    <x v="3"/>
    <s v="SEZ"/>
    <d v="2025-02-28T00:00:00"/>
    <n v="36000"/>
    <n v="12000000"/>
  </r>
  <r>
    <n v="9"/>
    <s v="원서준"/>
    <x v="1"/>
    <s v="부장"/>
    <s v="국내영업"/>
    <x v="4"/>
    <s v="SEZ"/>
    <d v="2025-02-11T00:00:00"/>
    <n v="93000"/>
    <n v="6234000"/>
  </r>
  <r>
    <n v="10"/>
    <s v="채소연"/>
    <x v="0"/>
    <s v="부장"/>
    <s v="국내영업"/>
    <x v="4"/>
    <s v="SEZ"/>
    <d v="2025-02-19T00:00:00"/>
    <n v="20000"/>
    <n v="5234000"/>
  </r>
  <r>
    <n v="11"/>
    <s v="정유진"/>
    <x v="0"/>
    <s v="과장"/>
    <s v="국내영업"/>
    <x v="1"/>
    <s v="SEZ"/>
    <d v="2025-02-19T00:00:00"/>
    <n v="59200"/>
    <n v="53000000"/>
  </r>
  <r>
    <n v="12"/>
    <s v="홍길동"/>
    <x v="1"/>
    <s v="부장"/>
    <s v="영업관리"/>
    <x v="1"/>
    <s v="SEZ"/>
    <d v="2025-02-19T00:00:00"/>
    <n v="82000"/>
    <n v="23000000"/>
  </r>
  <r>
    <n v="13"/>
    <s v="김기연"/>
    <x v="1"/>
    <s v="차장"/>
    <s v="국내영업"/>
    <x v="2"/>
    <s v="TSO"/>
    <d v="2025-02-25T00:00:00"/>
    <n v="4000"/>
    <n v="45000000"/>
  </r>
  <r>
    <n v="14"/>
    <s v="김현정"/>
    <x v="0"/>
    <s v="대리"/>
    <s v="국내영업"/>
    <x v="2"/>
    <s v="SEV"/>
    <d v="2025-05-27T00:00:00"/>
    <n v="50000"/>
    <n v="45000000"/>
  </r>
  <r>
    <n v="15"/>
    <s v="고숭녕"/>
    <x v="1"/>
    <s v="대리"/>
    <s v="국내영업"/>
    <x v="2"/>
    <s v="SEZ"/>
    <d v="2025-05-29T00:00:00"/>
    <n v="11200"/>
    <n v="33500000"/>
  </r>
  <r>
    <n v="16"/>
    <s v="조홍제"/>
    <x v="1"/>
    <s v="사원"/>
    <s v="국내영업"/>
    <x v="0"/>
    <s v="SEZ"/>
    <d v="2025-05-29T00:00:00"/>
    <n v="4000"/>
    <n v="3400000"/>
  </r>
  <r>
    <n v="17"/>
    <s v="박국희"/>
    <x v="0"/>
    <s v="과장"/>
    <s v="국내영업"/>
    <x v="1"/>
    <s v="SEZ"/>
    <d v="2025-04-09T00:00:00"/>
    <n v="41200"/>
    <n v="26200000"/>
  </r>
  <r>
    <n v="18"/>
    <s v="한우석"/>
    <x v="1"/>
    <s v="과장"/>
    <s v="국내영업"/>
    <x v="1"/>
    <s v="SEZ"/>
    <d v="2025-04-15T00:00:00"/>
    <n v="80000"/>
    <n v="5250000"/>
  </r>
  <r>
    <n v="19"/>
    <s v="박슬기"/>
    <x v="0"/>
    <s v="대리"/>
    <s v="국내영업"/>
    <x v="3"/>
    <s v="SVT"/>
    <d v="2025-04-07T00:00:00"/>
    <n v="24000"/>
    <n v="23400000"/>
  </r>
  <r>
    <n v="20"/>
    <s v="안정훈"/>
    <x v="1"/>
    <s v="과장"/>
    <s v="컨설턴트"/>
    <x v="0"/>
    <s v="SVT"/>
    <d v="2025-04-15T00:00:00"/>
    <n v="26400"/>
    <n v="2340000"/>
  </r>
  <r>
    <n v="21"/>
    <s v="최준기"/>
    <x v="1"/>
    <s v="과장"/>
    <s v="컨설턴트"/>
    <x v="4"/>
    <s v="SVT"/>
    <d v="2025-04-19T00:00:00"/>
    <n v="55000"/>
    <n v="36000000"/>
  </r>
  <r>
    <n v="22"/>
    <s v="이한구"/>
    <x v="1"/>
    <s v="부장"/>
    <s v="영업관리"/>
    <x v="3"/>
    <s v="SEZ"/>
    <d v="2025-04-09T00:00:00"/>
    <n v="4000"/>
    <n v="24500000"/>
  </r>
  <r>
    <n v="23"/>
    <s v="오명근"/>
    <x v="1"/>
    <s v="사원"/>
    <s v="영업관리"/>
    <x v="1"/>
    <s v="SVT"/>
    <d v="2025-07-13T00:00:00"/>
    <n v="12000"/>
    <n v="34000000"/>
  </r>
  <r>
    <n v="24"/>
    <s v="김형호"/>
    <x v="1"/>
    <s v="사원"/>
    <s v="영업관리"/>
    <x v="4"/>
    <s v="SEZ"/>
    <d v="2025-06-30T00:00:00"/>
    <n v="77000"/>
    <n v="53000000"/>
  </r>
  <r>
    <n v="25"/>
    <s v="이희훈"/>
    <x v="0"/>
    <s v="대리"/>
    <s v="컨설턴트"/>
    <x v="4"/>
    <s v="SVT"/>
    <d v="2025-07-14T00:00:00"/>
    <n v="76000"/>
    <n v="5300000"/>
  </r>
  <r>
    <n v="26"/>
    <s v="고원지"/>
    <x v="0"/>
    <s v="사원"/>
    <s v="컨설턴트"/>
    <x v="4"/>
    <s v="SEZ"/>
    <d v="2025-06-10T00:00:00"/>
    <n v="33000"/>
    <n v="3245000"/>
  </r>
  <r>
    <n v="27"/>
    <s v="한재호"/>
    <x v="1"/>
    <s v="사원"/>
    <s v="컨설턴트"/>
    <x v="1"/>
    <s v="TSO"/>
    <d v="2025-06-08T00:00:00"/>
    <n v="8000"/>
    <n v="36000000"/>
  </r>
  <r>
    <n v="28"/>
    <s v="조예준"/>
    <x v="1"/>
    <s v="대리"/>
    <s v="영업관리"/>
    <x v="2"/>
    <s v="TSO"/>
    <d v="2025-05-29T00:00:00"/>
    <n v="45000"/>
    <n v="13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38B4-A465-4385-8284-A3733558463B}" name="피벗 테이블7" cacheId="180" applyNumberFormats="0" applyBorderFormats="0" applyFontFormats="0" applyPatternFormats="0" applyAlignmentFormats="0" applyWidthHeightFormats="1" dataCaption="값" updatedVersion="8" minRefreshableVersion="3" itemPrintTitles="1" createdVersion="8" indent="0" outline="1" outlineData="1" multipleFieldFilters="0" rowHeaderCaption="지역" colHeaderCaption=" ">
  <location ref="A3:D10" firstHeaderRow="1" firstDataRow="2" firstDataCol="1"/>
  <pivotFields count="10">
    <pivotField showAll="0"/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numFmtId="14" showAll="0"/>
    <pivotField numFmtId="41" showAll="0"/>
    <pivotField numFmtId="4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인원수" fld="1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7255-94E1-4D52-BEA0-56623F8C9E4A}">
  <dimension ref="A3:D10"/>
  <sheetViews>
    <sheetView tabSelected="1" workbookViewId="0">
      <selection activeCell="B5" sqref="B5"/>
    </sheetView>
  </sheetViews>
  <sheetFormatPr defaultRowHeight="17"/>
  <cols>
    <col min="1" max="1" width="7.08203125" bestFit="1" customWidth="1"/>
    <col min="2" max="7" width="8.5" customWidth="1"/>
  </cols>
  <sheetData>
    <row r="3" spans="1:4">
      <c r="A3" s="27" t="s">
        <v>67</v>
      </c>
      <c r="B3" s="27" t="s">
        <v>74</v>
      </c>
    </row>
    <row r="4" spans="1:4">
      <c r="A4" s="27" t="s">
        <v>5</v>
      </c>
      <c r="B4" t="s">
        <v>68</v>
      </c>
      <c r="C4" t="s">
        <v>69</v>
      </c>
      <c r="D4" t="s">
        <v>63</v>
      </c>
    </row>
    <row r="5" spans="1:4">
      <c r="A5" s="28" t="s">
        <v>18</v>
      </c>
      <c r="B5" s="26">
        <v>4</v>
      </c>
      <c r="C5" s="26">
        <v>3</v>
      </c>
      <c r="D5" s="26">
        <v>7</v>
      </c>
    </row>
    <row r="6" spans="1:4">
      <c r="A6" s="28" t="s">
        <v>62</v>
      </c>
      <c r="B6" s="26">
        <v>2</v>
      </c>
      <c r="C6" s="26">
        <v>3</v>
      </c>
      <c r="D6" s="26">
        <v>5</v>
      </c>
    </row>
    <row r="7" spans="1:4">
      <c r="A7" s="28" t="s">
        <v>32</v>
      </c>
      <c r="B7" s="26">
        <v>3</v>
      </c>
      <c r="C7" s="26">
        <v>3</v>
      </c>
      <c r="D7" s="26">
        <v>6</v>
      </c>
    </row>
    <row r="8" spans="1:4">
      <c r="A8" s="28" t="s">
        <v>64</v>
      </c>
      <c r="B8" s="26">
        <v>3</v>
      </c>
      <c r="C8" s="26">
        <v>3</v>
      </c>
      <c r="D8" s="26">
        <v>6</v>
      </c>
    </row>
    <row r="9" spans="1:4">
      <c r="A9" s="28" t="s">
        <v>65</v>
      </c>
      <c r="B9" s="26">
        <v>1</v>
      </c>
      <c r="C9" s="26">
        <v>3</v>
      </c>
      <c r="D9" s="26">
        <v>4</v>
      </c>
    </row>
    <row r="10" spans="1:4">
      <c r="A10" s="28" t="s">
        <v>63</v>
      </c>
      <c r="B10" s="26">
        <v>13</v>
      </c>
      <c r="C10" s="26">
        <v>15</v>
      </c>
      <c r="D10" s="26">
        <v>28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topLeftCell="A13" workbookViewId="0">
      <selection activeCell="A31" sqref="A31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66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C21-FCFC-469C-9FAA-038DB4E0DC6D}">
  <dimension ref="A1:J4"/>
  <sheetViews>
    <sheetView workbookViewId="0">
      <selection activeCell="F2" sqref="F2"/>
    </sheetView>
  </sheetViews>
  <sheetFormatPr defaultRowHeight="17"/>
  <cols>
    <col min="8" max="8" width="11" customWidth="1"/>
    <col min="10" max="10" width="11.6640625" bestFit="1" customWidth="1"/>
  </cols>
  <sheetData>
    <row r="1" spans="1:10" s="12" customFormat="1">
      <c r="A1" s="21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3" t="s">
        <v>7</v>
      </c>
      <c r="I1" s="24" t="s">
        <v>8</v>
      </c>
      <c r="J1" s="25" t="s">
        <v>9</v>
      </c>
    </row>
    <row r="2" spans="1:10" s="12" customFormat="1">
      <c r="A2" s="30">
        <v>31</v>
      </c>
      <c r="B2" s="30" t="s">
        <v>72</v>
      </c>
      <c r="C2" s="30" t="s">
        <v>68</v>
      </c>
      <c r="D2" s="30" t="s">
        <v>12</v>
      </c>
      <c r="E2" s="30" t="s">
        <v>37</v>
      </c>
      <c r="F2" s="30" t="s">
        <v>73</v>
      </c>
      <c r="G2" s="31" t="s">
        <v>25</v>
      </c>
      <c r="H2" s="32">
        <v>45814</v>
      </c>
      <c r="I2" s="33">
        <v>140430</v>
      </c>
      <c r="J2" s="34">
        <v>62034000</v>
      </c>
    </row>
    <row r="3" spans="1:10">
      <c r="A3" s="30">
        <v>32</v>
      </c>
      <c r="B3" s="30" t="s">
        <v>71</v>
      </c>
      <c r="C3" s="30" t="s">
        <v>69</v>
      </c>
      <c r="D3" s="30" t="s">
        <v>42</v>
      </c>
      <c r="E3" s="30" t="s">
        <v>70</v>
      </c>
      <c r="F3" s="30" t="s">
        <v>73</v>
      </c>
      <c r="G3" s="31" t="s">
        <v>22</v>
      </c>
      <c r="H3" s="35">
        <v>45850</v>
      </c>
      <c r="I3" s="29">
        <v>820000</v>
      </c>
      <c r="J3" s="29">
        <v>53000000</v>
      </c>
    </row>
    <row r="4" spans="1:10">
      <c r="A4" s="30">
        <v>33</v>
      </c>
      <c r="B4" s="36" t="s">
        <v>47</v>
      </c>
      <c r="C4" s="36" t="s">
        <v>11</v>
      </c>
      <c r="D4" s="36" t="s">
        <v>52</v>
      </c>
      <c r="E4" s="36" t="s">
        <v>13</v>
      </c>
      <c r="F4" s="30" t="s">
        <v>73</v>
      </c>
      <c r="G4" s="36" t="s">
        <v>25</v>
      </c>
      <c r="H4" s="35">
        <v>45707</v>
      </c>
      <c r="I4" s="37">
        <v>82000</v>
      </c>
      <c r="J4" s="37">
        <v>23000000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매출정보</vt:lpstr>
      <vt:lpstr>추가데이터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2025-08-09T12:37:48Z</dcterms:modified>
</cp:coreProperties>
</file>